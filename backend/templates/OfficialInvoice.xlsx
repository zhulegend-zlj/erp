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nvoice\Corsair\未付清\2026.07.03 269774,269776,269777,269778,269779\"/>
    </mc:Choice>
  </mc:AlternateContent>
  <bookViews>
    <workbookView windowWidth="19545" windowHeight="7695"/>
  </bookViews>
  <sheets>
    <sheet name="Sheet1" sheetId="1" r:id="rId1"/>
  </sheets>
  <definedNames>
    <definedName name="_xlnm.Print_Area" localSheetId="0">Sheet1!$A$1:$M$46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<sst xmlns="http://schemas.openxmlformats.org/spreadsheetml/2006/main" count="56" uniqueCount="54">
  <si>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Official Invoice</t>
  </si>
  <si>
    <t>DATE:</t>
  </si>
  <si>
    <t>INV.#:</t>
  </si>
  <si>
    <t>ZRH20260814006</t>
  </si>
  <si>
    <t xml:space="preserve">                 </t>
  </si>
  <si>
    <t xml:space="preserve">   Issuer:</t>
  </si>
  <si>
    <t>Dongguan Zhiruiheng Electronic Co., Ltd</t>
  </si>
  <si>
    <t xml:space="preserve">                  TO:</t>
  </si>
  <si>
    <t>Corsair Memory, Inc.</t>
  </si>
  <si>
    <t>Room 201, No.239 Changhuang Road,</t>
  </si>
  <si>
    <t>115 N. McCarthy Blvd.</t>
  </si>
  <si>
    <t>Changping Town,Dongguan</t>
  </si>
  <si>
    <t>Milpitas, CA, 95035</t>
  </si>
  <si>
    <t>Guangdong Province ,528536 China</t>
  </si>
  <si>
    <t>United States</t>
  </si>
  <si>
    <t>Contact: bl@jmc-metal.com</t>
  </si>
  <si>
    <t>Phone: (510) 657-8747</t>
  </si>
  <si>
    <t>BUSINESS@JMC-METAL.COM</t>
  </si>
  <si>
    <t>Line#</t>
  </si>
  <si>
    <t>P.O #</t>
  </si>
  <si>
    <t>Item#</t>
  </si>
  <si>
    <t>Description</t>
  </si>
  <si>
    <t>Q'TY 
(PCS)</t>
  </si>
  <si>
    <t>Unite Price
(CNY)</t>
  </si>
  <si>
    <t>Extended
(CNY)</t>
  </si>
  <si>
    <t>Due Amount
(CNY)</t>
  </si>
  <si>
    <t>Due Date</t>
  </si>
  <si>
    <t>Remark</t>
  </si>
  <si>
    <t>CSP_V3_BPK</t>
  </si>
  <si>
    <t>CLUBSPORT PEDALS V3 BRAKE PERFORMANCE KIT</t>
  </si>
  <si>
    <t>100% payment</t>
  </si>
  <si>
    <t>Payment record</t>
  </si>
  <si>
    <t>Amount
(RMB)</t>
  </si>
  <si>
    <t>payment date</t>
  </si>
  <si>
    <t>Total:</t>
  </si>
  <si>
    <t>SAY TOTAL : CNY SEVENTY-TWO THOUSAND AND TEN CENTS EIGHT ONLY.</t>
  </si>
  <si>
    <t>1.Shipping Date:</t>
  </si>
  <si>
    <t>2026.08.14</t>
  </si>
  <si>
    <t>2.Shipping instructions:</t>
  </si>
  <si>
    <t>ALU 1264 pcs</t>
  </si>
  <si>
    <t>3.Payment terms:</t>
  </si>
  <si>
    <t>NET 60</t>
  </si>
  <si>
    <t xml:space="preserve">4.VAT identification number: </t>
  </si>
  <si>
    <t>91441900MAG11BDD14</t>
  </si>
  <si>
    <t>5.Tax rate:</t>
  </si>
  <si>
    <t>6.Collecting bank:</t>
  </si>
  <si>
    <t>Bank Name: CHINA MERCHANTS BANK DONGGUAN CHANGPING SUB-BRANCH</t>
  </si>
  <si>
    <t>Bank Telphone number: +86 0769-81089991</t>
  </si>
  <si>
    <t>Bank Address: Room 101, Jun Hong Plaza, 19 Changping Avenue, Changping Town, Dongguan,Guangdong Province, China</t>
  </si>
  <si>
    <t>SWIFT: CMBCCNBS195</t>
  </si>
  <si>
    <t>Account Name: Dongguan Zhiruiheng Electronic Co., Ltd</t>
  </si>
  <si>
    <t>Account Number: 769914313710066</t>
  </si>
  <si>
    <t xml:space="preserve">7.Incoterm : </t>
  </si>
  <si>
    <t>FCA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</si>
</sst>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\$#,##0.00_);[Red]&quot;($&quot;#,##0.00\)"/>
    <numFmt numFmtId="178" formatCode="m/d/yy;@"/>
    <numFmt numFmtId="179" formatCode="yyyy/m/d;@"/>
    <numFmt numFmtId="180" formatCode="&quot;￥&quot;#,##0.00_);[Red]\(&quot;￥&quot;#,##0.00\)"/>
  </numFmts>
  <fonts count="32">
    <font>
      <sz val="12"/>
      <name val="宋体"/>
      <charset val="134"/>
    </font>
    <font>
      <b/>
      <sz val="10"/>
      <name val="Arial"/>
      <charset val="134"/>
    </font>
    <font>
      <sz val="11"/>
      <name val="Arial"/>
      <charset val="134"/>
    </font>
    <font>
      <b/>
      <sz val="26"/>
      <name val="Arial"/>
      <charset val="134"/>
    </font>
    <font>
      <sz val="26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rgb="FF000000"/>
      <name val="Arial"/>
      <charset val="134"/>
    </font>
    <font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name val="華康中楷體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8"/>
      </bottom>
      <diagonal/>
    </border>
  </borders>
  <cellStyleXfs count="5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6" borderId="21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7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0" fillId="0" borderId="25"/>
    <xf numFmtId="0" fontId="31" fillId="0" borderId="0"/>
  </cellStyleXfs>
  <cellXfs count="141">
    <xf numFmtId="0" fontId="0" fillId="0" borderId="0" xfId="0">
      <alignment vertical="center"/>
    </xf>
    <xf numFmtId="0" fontId="1" fillId="2" borderId="0" xfId="50" applyFont="1" applyFill="1" applyBorder="1"/>
    <xf numFmtId="0" fontId="1" fillId="2" borderId="0" xfId="50" applyFont="1" applyFill="1" applyBorder="1" applyAlignment="1">
      <alignment wrapText="1"/>
    </xf>
    <xf numFmtId="0" fontId="1" fillId="2" borderId="0" xfId="50" applyFont="1" applyFill="1" applyBorder="1" applyAlignment="1">
      <alignment vertical="center"/>
    </xf>
    <xf numFmtId="0" fontId="2" fillId="2" borderId="0" xfId="49" applyFont="1" applyFill="1" applyBorder="1"/>
    <xf numFmtId="0" fontId="3" fillId="2" borderId="0" xfId="50" applyFont="1" applyFill="1" applyAlignment="1">
      <alignment horizontal="center" vertical="center"/>
    </xf>
    <xf numFmtId="30" fontId="4" fillId="2" borderId="0" xfId="50" applyNumberFormat="1" applyFont="1" applyFill="1" applyBorder="1" applyAlignment="1">
      <alignment vertical="center"/>
    </xf>
    <xf numFmtId="0" fontId="5" fillId="2" borderId="0" xfId="50" applyFont="1" applyFill="1" applyBorder="1" applyAlignment="1">
      <alignment horizontal="center"/>
    </xf>
    <xf numFmtId="0" fontId="1" fillId="2" borderId="0" xfId="50" applyFont="1" applyFill="1" applyBorder="1" applyAlignment="1">
      <alignment horizontal="right"/>
    </xf>
    <xf numFmtId="176" fontId="1" fillId="2" borderId="0" xfId="50" applyNumberFormat="1" applyFont="1" applyFill="1" applyBorder="1" applyAlignment="1">
      <alignment horizontal="right"/>
    </xf>
    <xf numFmtId="176" fontId="1" fillId="2" borderId="0" xfId="50" applyNumberFormat="1" applyFont="1" applyFill="1" applyBorder="1"/>
    <xf numFmtId="0" fontId="1" fillId="2" borderId="0" xfId="50" applyFont="1" applyFill="1" applyBorder="1" applyAlignment="1">
      <alignment horizontal="center"/>
    </xf>
    <xf numFmtId="0" fontId="1" fillId="2" borderId="1" xfId="50" applyFont="1" applyFill="1" applyBorder="1"/>
    <xf numFmtId="0" fontId="1" fillId="2" borderId="2" xfId="50" applyFont="1" applyFill="1" applyBorder="1"/>
    <xf numFmtId="0" fontId="1" fillId="2" borderId="3" xfId="50" applyFont="1" applyFill="1" applyBorder="1"/>
    <xf numFmtId="0" fontId="1" fillId="2" borderId="0" xfId="50" applyFont="1" applyFill="1" applyBorder="1" applyAlignment="1"/>
    <xf numFmtId="0" fontId="1" fillId="2" borderId="1" xfId="50" applyFont="1" applyFill="1" applyBorder="1" applyAlignment="1">
      <alignment horizontal="left"/>
    </xf>
    <xf numFmtId="0" fontId="1" fillId="2" borderId="2" xfId="50" applyFont="1" applyFill="1" applyBorder="1" applyAlignment="1">
      <alignment horizontal="left"/>
    </xf>
    <xf numFmtId="30" fontId="6" fillId="3" borderId="3" xfId="50" applyNumberFormat="1" applyFont="1" applyFill="1" applyBorder="1" applyAlignment="1">
      <alignment horizontal="center"/>
    </xf>
    <xf numFmtId="30" fontId="6" fillId="3" borderId="0" xfId="50" applyNumberFormat="1" applyFont="1" applyFill="1" applyBorder="1" applyAlignment="1">
      <alignment horizontal="center"/>
    </xf>
    <xf numFmtId="0" fontId="1" fillId="2" borderId="4" xfId="50" applyFont="1" applyFill="1" applyBorder="1"/>
    <xf numFmtId="0" fontId="1" fillId="2" borderId="5" xfId="50" applyFont="1" applyFill="1" applyBorder="1"/>
    <xf numFmtId="0" fontId="1" fillId="2" borderId="0" xfId="50" applyFont="1" applyFill="1" applyBorder="1" applyAlignment="1">
      <alignment horizontal="left"/>
    </xf>
    <xf numFmtId="0" fontId="1" fillId="2" borderId="4" xfId="50" applyFont="1" applyFill="1" applyBorder="1" applyAlignment="1">
      <alignment horizontal="left"/>
    </xf>
    <xf numFmtId="30" fontId="6" fillId="3" borderId="5" xfId="50" applyNumberFormat="1" applyFont="1" applyFill="1" applyBorder="1" applyAlignment="1">
      <alignment horizontal="center"/>
    </xf>
    <xf numFmtId="0" fontId="1" fillId="2" borderId="4" xfId="50" applyFont="1" applyFill="1" applyBorder="1" applyAlignment="1">
      <alignment horizontal="left" wrapText="1"/>
    </xf>
    <xf numFmtId="0" fontId="1" fillId="2" borderId="0" xfId="50" applyFont="1" applyFill="1" applyAlignment="1">
      <alignment horizontal="left" wrapText="1"/>
    </xf>
    <xf numFmtId="0" fontId="1" fillId="2" borderId="5" xfId="50" applyFont="1" applyFill="1" applyBorder="1" applyAlignment="1">
      <alignment horizontal="left" wrapText="1"/>
    </xf>
    <xf numFmtId="0" fontId="1" fillId="3" borderId="0" xfId="50" applyFont="1" applyFill="1" applyBorder="1"/>
    <xf numFmtId="0" fontId="1" fillId="3" borderId="4" xfId="50" applyFont="1" applyFill="1" applyBorder="1"/>
    <xf numFmtId="0" fontId="6" fillId="3" borderId="0" xfId="50" applyFont="1" applyFill="1" applyBorder="1" applyAlignment="1">
      <alignment horizontal="center"/>
    </xf>
    <xf numFmtId="0" fontId="1" fillId="2" borderId="6" xfId="50" applyFont="1" applyFill="1" applyBorder="1"/>
    <xf numFmtId="0" fontId="1" fillId="2" borderId="7" xfId="50" applyFont="1" applyFill="1" applyBorder="1"/>
    <xf numFmtId="0" fontId="1" fillId="2" borderId="8" xfId="50" applyFont="1" applyFill="1" applyBorder="1"/>
    <xf numFmtId="0" fontId="1" fillId="3" borderId="6" xfId="50" applyFont="1" applyFill="1" applyBorder="1"/>
    <xf numFmtId="0" fontId="6" fillId="3" borderId="7" xfId="50" applyFont="1" applyFill="1" applyBorder="1" applyAlignment="1">
      <alignment horizontal="center"/>
    </xf>
    <xf numFmtId="30" fontId="6" fillId="3" borderId="8" xfId="50" applyNumberFormat="1" applyFont="1" applyFill="1" applyBorder="1" applyAlignment="1">
      <alignment horizontal="center"/>
    </xf>
    <xf numFmtId="177" fontId="6" fillId="3" borderId="0" xfId="50" applyNumberFormat="1" applyFont="1" applyFill="1" applyBorder="1" applyAlignment="1">
      <alignment horizontal="center"/>
    </xf>
    <xf numFmtId="0" fontId="2" fillId="3" borderId="0" xfId="50" applyFont="1" applyFill="1" applyBorder="1"/>
    <xf numFmtId="177" fontId="1" fillId="2" borderId="0" xfId="50" applyNumberFormat="1" applyFont="1" applyFill="1" applyBorder="1" applyAlignment="1">
      <alignment horizontal="center"/>
    </xf>
    <xf numFmtId="30" fontId="1" fillId="2" borderId="0" xfId="50" applyNumberFormat="1" applyFont="1" applyFill="1" applyBorder="1" applyAlignment="1">
      <alignment horizontal="right"/>
    </xf>
    <xf numFmtId="0" fontId="1" fillId="2" borderId="9" xfId="50" applyFont="1" applyFill="1" applyBorder="1"/>
    <xf numFmtId="0" fontId="1" fillId="2" borderId="10" xfId="50" applyFont="1" applyFill="1" applyBorder="1"/>
    <xf numFmtId="0" fontId="1" fillId="2" borderId="10" xfId="50" applyFont="1" applyFill="1" applyBorder="1" applyAlignment="1">
      <alignment horizontal="center"/>
    </xf>
    <xf numFmtId="30" fontId="1" fillId="2" borderId="10" xfId="50" applyNumberFormat="1" applyFont="1" applyFill="1" applyBorder="1" applyAlignment="1">
      <alignment horizontal="center"/>
    </xf>
    <xf numFmtId="177" fontId="1" fillId="2" borderId="10" xfId="50" applyNumberFormat="1" applyFont="1" applyFill="1" applyBorder="1" applyAlignment="1">
      <alignment horizontal="center"/>
    </xf>
    <xf numFmtId="30" fontId="7" fillId="2" borderId="11" xfId="50" applyNumberFormat="1" applyFont="1" applyFill="1" applyBorder="1"/>
    <xf numFmtId="30" fontId="7" fillId="2" borderId="0" xfId="50" applyNumberFormat="1" applyFont="1" applyFill="1" applyBorder="1"/>
    <xf numFmtId="0" fontId="1" fillId="2" borderId="12" xfId="50" applyFont="1" applyFill="1" applyBorder="1" applyAlignment="1">
      <alignment horizontal="center" vertical="center" wrapText="1"/>
    </xf>
    <xf numFmtId="177" fontId="1" fillId="2" borderId="12" xfId="50" applyNumberFormat="1" applyFont="1" applyFill="1" applyBorder="1" applyAlignment="1">
      <alignment horizontal="center" vertical="center" wrapText="1"/>
    </xf>
    <xf numFmtId="177" fontId="1" fillId="2" borderId="13" xfId="50" applyNumberFormat="1" applyFont="1" applyFill="1" applyBorder="1" applyAlignment="1">
      <alignment horizontal="center" vertical="center" wrapText="1"/>
    </xf>
    <xf numFmtId="30" fontId="1" fillId="2" borderId="2" xfId="50" applyNumberFormat="1" applyFont="1" applyFill="1" applyBorder="1" applyAlignment="1">
      <alignment horizontal="center" vertical="center" wrapText="1"/>
    </xf>
    <xf numFmtId="30" fontId="1" fillId="2" borderId="1" xfId="50" applyNumberFormat="1" applyFont="1" applyFill="1" applyBorder="1" applyAlignment="1">
      <alignment horizontal="center" vertical="center" wrapText="1"/>
    </xf>
    <xf numFmtId="30" fontId="1" fillId="2" borderId="13" xfId="50" applyNumberFormat="1" applyFont="1" applyFill="1" applyBorder="1" applyAlignment="1">
      <alignment horizontal="center" vertical="center" wrapText="1"/>
    </xf>
    <xf numFmtId="0" fontId="1" fillId="2" borderId="3" xfId="50" applyFont="1" applyFill="1" applyBorder="1" applyAlignment="1">
      <alignment horizontal="center" vertical="center" wrapText="1"/>
    </xf>
    <xf numFmtId="15" fontId="8" fillId="3" borderId="0" xfId="0" applyNumberFormat="1" applyFont="1" applyFill="1" applyBorder="1" applyAlignment="1">
      <alignment horizontal="center" vertical="center"/>
    </xf>
    <xf numFmtId="0" fontId="1" fillId="2" borderId="14" xfId="50" applyNumberFormat="1" applyFont="1" applyFill="1" applyBorder="1" applyAlignment="1">
      <alignment horizontal="center" vertical="center" wrapText="1"/>
    </xf>
    <xf numFmtId="0" fontId="9" fillId="2" borderId="7" xfId="50" applyNumberFormat="1" applyFont="1" applyFill="1" applyBorder="1" applyAlignment="1">
      <alignment horizontal="center" vertical="center" wrapText="1"/>
    </xf>
    <xf numFmtId="0" fontId="9" fillId="2" borderId="12" xfId="50" applyNumberFormat="1" applyFont="1" applyFill="1" applyBorder="1" applyAlignment="1">
      <alignment horizontal="center" vertical="center" wrapText="1"/>
    </xf>
    <xf numFmtId="3" fontId="1" fillId="2" borderId="7" xfId="50" applyNumberFormat="1" applyFont="1" applyFill="1" applyBorder="1" applyAlignment="1">
      <alignment horizontal="center" vertical="center" wrapText="1"/>
    </xf>
    <xf numFmtId="7" fontId="1" fillId="2" borderId="12" xfId="50" applyNumberFormat="1" applyFont="1" applyFill="1" applyBorder="1" applyAlignment="1">
      <alignment horizontal="center" vertical="center" wrapText="1"/>
    </xf>
    <xf numFmtId="178" fontId="1" fillId="2" borderId="13" xfId="50" applyNumberFormat="1" applyFont="1" applyFill="1" applyBorder="1" applyAlignment="1">
      <alignment horizontal="center" vertical="center" wrapText="1"/>
    </xf>
    <xf numFmtId="15" fontId="1" fillId="3" borderId="3" xfId="0" applyNumberFormat="1" applyFont="1" applyFill="1" applyBorder="1" applyAlignment="1">
      <alignment horizontal="center" vertical="center"/>
    </xf>
    <xf numFmtId="178" fontId="1" fillId="2" borderId="12" xfId="50" applyNumberFormat="1" applyFont="1" applyFill="1" applyBorder="1" applyAlignment="1">
      <alignment horizontal="center" vertical="center" wrapText="1"/>
    </xf>
    <xf numFmtId="15" fontId="1" fillId="3" borderId="12" xfId="0" applyNumberFormat="1" applyFont="1" applyFill="1" applyBorder="1" applyAlignment="1">
      <alignment horizontal="center" vertical="center"/>
    </xf>
    <xf numFmtId="0" fontId="1" fillId="2" borderId="14" xfId="50" applyNumberFormat="1" applyFont="1" applyFill="1" applyBorder="1" applyAlignment="1">
      <alignment horizontal="center" wrapText="1"/>
    </xf>
    <xf numFmtId="0" fontId="1" fillId="2" borderId="12" xfId="50" applyNumberFormat="1" applyFont="1" applyFill="1" applyBorder="1" applyAlignment="1">
      <alignment horizontal="center" wrapText="1"/>
    </xf>
    <xf numFmtId="0" fontId="9" fillId="2" borderId="6" xfId="50" applyNumberFormat="1" applyFont="1" applyFill="1" applyBorder="1" applyAlignment="1">
      <alignment horizontal="center" vertical="center" wrapText="1"/>
    </xf>
    <xf numFmtId="0" fontId="1" fillId="2" borderId="7" xfId="50" applyNumberFormat="1" applyFont="1" applyFill="1" applyBorder="1" applyAlignment="1">
      <alignment horizontal="center" vertical="center" wrapText="1"/>
    </xf>
    <xf numFmtId="0" fontId="1" fillId="2" borderId="8" xfId="50" applyNumberFormat="1" applyFont="1" applyFill="1" applyBorder="1" applyAlignment="1">
      <alignment horizontal="center" vertical="center" wrapText="1"/>
    </xf>
    <xf numFmtId="7" fontId="1" fillId="2" borderId="14" xfId="50" applyNumberFormat="1" applyFont="1" applyFill="1" applyBorder="1" applyAlignment="1">
      <alignment horizontal="center" vertical="center" wrapText="1"/>
    </xf>
    <xf numFmtId="7" fontId="1" fillId="2" borderId="7" xfId="50" applyNumberFormat="1" applyFont="1" applyFill="1" applyBorder="1" applyAlignment="1">
      <alignment horizontal="center" vertical="center" wrapText="1"/>
    </xf>
    <xf numFmtId="7" fontId="1" fillId="2" borderId="6" xfId="50" applyNumberFormat="1" applyFont="1" applyFill="1" applyBorder="1" applyAlignment="1">
      <alignment horizontal="center" vertical="center" wrapText="1"/>
    </xf>
    <xf numFmtId="15" fontId="1" fillId="3" borderId="8" xfId="0" applyNumberFormat="1" applyFont="1" applyFill="1" applyBorder="1" applyAlignment="1">
      <alignment horizontal="center" vertical="center"/>
    </xf>
    <xf numFmtId="0" fontId="9" fillId="2" borderId="10" xfId="50" applyNumberFormat="1" applyFont="1" applyFill="1" applyBorder="1" applyAlignment="1">
      <alignment horizontal="center" vertical="center" wrapText="1"/>
    </xf>
    <xf numFmtId="0" fontId="9" fillId="2" borderId="9" xfId="50" applyNumberFormat="1" applyFont="1" applyFill="1" applyBorder="1" applyAlignment="1">
      <alignment horizontal="center" vertical="center" wrapText="1"/>
    </xf>
    <xf numFmtId="0" fontId="1" fillId="2" borderId="10" xfId="50" applyNumberFormat="1" applyFont="1" applyFill="1" applyBorder="1" applyAlignment="1">
      <alignment horizontal="center" vertical="center" wrapText="1"/>
    </xf>
    <xf numFmtId="0" fontId="1" fillId="2" borderId="11" xfId="50" applyNumberFormat="1" applyFont="1" applyFill="1" applyBorder="1" applyAlignment="1">
      <alignment horizontal="center" vertical="center" wrapText="1"/>
    </xf>
    <xf numFmtId="7" fontId="1" fillId="2" borderId="10" xfId="50" applyNumberFormat="1" applyFont="1" applyFill="1" applyBorder="1" applyAlignment="1">
      <alignment horizontal="center" vertical="center" wrapText="1"/>
    </xf>
    <xf numFmtId="7" fontId="1" fillId="2" borderId="9" xfId="50" applyNumberFormat="1" applyFont="1" applyFill="1" applyBorder="1" applyAlignment="1">
      <alignment horizontal="center" vertical="center" wrapText="1"/>
    </xf>
    <xf numFmtId="15" fontId="1" fillId="3" borderId="11" xfId="0" applyNumberFormat="1" applyFont="1" applyFill="1" applyBorder="1" applyAlignment="1">
      <alignment horizontal="center"/>
    </xf>
    <xf numFmtId="15" fontId="1" fillId="3" borderId="0" xfId="0" applyNumberFormat="1" applyFont="1" applyFill="1" applyBorder="1" applyAlignment="1">
      <alignment horizontal="center"/>
    </xf>
    <xf numFmtId="15" fontId="1" fillId="3" borderId="8" xfId="0" applyNumberFormat="1" applyFont="1" applyFill="1" applyBorder="1" applyAlignment="1">
      <alignment horizontal="center"/>
    </xf>
    <xf numFmtId="0" fontId="1" fillId="2" borderId="6" xfId="50" applyFont="1" applyFill="1" applyBorder="1" applyAlignment="1">
      <alignment horizontal="center" vertical="center" wrapText="1"/>
    </xf>
    <xf numFmtId="0" fontId="1" fillId="2" borderId="7" xfId="50" applyFont="1" applyFill="1" applyBorder="1" applyAlignment="1">
      <alignment horizontal="center" vertical="center" wrapText="1"/>
    </xf>
    <xf numFmtId="0" fontId="1" fillId="2" borderId="8" xfId="50" applyFont="1" applyFill="1" applyBorder="1" applyAlignment="1">
      <alignment horizontal="center" vertical="center" wrapText="1"/>
    </xf>
    <xf numFmtId="0" fontId="9" fillId="2" borderId="8" xfId="50" applyNumberFormat="1" applyFont="1" applyFill="1" applyBorder="1" applyAlignment="1">
      <alignment horizontal="center" vertical="center" wrapText="1"/>
    </xf>
    <xf numFmtId="179" fontId="1" fillId="2" borderId="6" xfId="50" applyNumberFormat="1" applyFont="1" applyFill="1" applyBorder="1" applyAlignment="1">
      <alignment horizontal="center" vertical="center" wrapText="1"/>
    </xf>
    <xf numFmtId="179" fontId="1" fillId="2" borderId="7" xfId="50" applyNumberFormat="1" applyFont="1" applyFill="1" applyBorder="1" applyAlignment="1">
      <alignment horizontal="center" vertical="center" wrapText="1"/>
    </xf>
    <xf numFmtId="179" fontId="1" fillId="2" borderId="8" xfId="50" applyNumberFormat="1" applyFont="1" applyFill="1" applyBorder="1" applyAlignment="1">
      <alignment horizontal="center" vertical="center" wrapText="1"/>
    </xf>
    <xf numFmtId="7" fontId="1" fillId="2" borderId="11" xfId="50" applyNumberFormat="1" applyFont="1" applyFill="1" applyBorder="1" applyAlignment="1">
      <alignment horizontal="center" vertical="center" wrapText="1"/>
    </xf>
    <xf numFmtId="7" fontId="1" fillId="2" borderId="8" xfId="50" applyNumberFormat="1" applyFont="1" applyFill="1" applyBorder="1" applyAlignment="1">
      <alignment horizontal="center" vertical="center" wrapText="1"/>
    </xf>
    <xf numFmtId="9" fontId="1" fillId="2" borderId="6" xfId="50" applyNumberFormat="1" applyFont="1" applyFill="1" applyBorder="1" applyAlignment="1">
      <alignment horizontal="center"/>
    </xf>
    <xf numFmtId="9" fontId="1" fillId="2" borderId="7" xfId="50" applyNumberFormat="1" applyFont="1" applyFill="1" applyBorder="1" applyAlignment="1">
      <alignment horizontal="center"/>
    </xf>
    <xf numFmtId="1" fontId="1" fillId="2" borderId="7" xfId="50" applyNumberFormat="1" applyFont="1" applyFill="1" applyBorder="1" applyAlignment="1">
      <alignment horizontal="center"/>
    </xf>
    <xf numFmtId="38" fontId="1" fillId="2" borderId="7" xfId="50" applyNumberFormat="1" applyFont="1" applyFill="1" applyBorder="1" applyAlignment="1">
      <alignment horizontal="center"/>
    </xf>
    <xf numFmtId="177" fontId="1" fillId="2" borderId="7" xfId="50" applyNumberFormat="1" applyFont="1" applyFill="1" applyBorder="1" applyAlignment="1">
      <alignment horizontal="center"/>
    </xf>
    <xf numFmtId="7" fontId="1" fillId="2" borderId="7" xfId="50" applyNumberFormat="1" applyFont="1" applyFill="1" applyBorder="1" applyAlignment="1">
      <alignment horizontal="center"/>
    </xf>
    <xf numFmtId="180" fontId="1" fillId="2" borderId="7" xfId="50" applyNumberFormat="1" applyFont="1" applyFill="1" applyBorder="1" applyAlignment="1">
      <alignment horizontal="center"/>
    </xf>
    <xf numFmtId="1" fontId="1" fillId="2" borderId="8" xfId="50" applyNumberFormat="1" applyFont="1" applyFill="1" applyBorder="1" applyAlignment="1">
      <alignment horizontal="center"/>
    </xf>
    <xf numFmtId="1" fontId="1" fillId="2" borderId="0" xfId="50" applyNumberFormat="1" applyFont="1" applyFill="1" applyBorder="1" applyAlignment="1">
      <alignment horizontal="center"/>
    </xf>
    <xf numFmtId="0" fontId="1" fillId="2" borderId="15" xfId="50" applyFont="1" applyFill="1" applyBorder="1" applyAlignment="1">
      <alignment vertical="center"/>
    </xf>
    <xf numFmtId="0" fontId="1" fillId="2" borderId="15" xfId="50" applyFont="1" applyFill="1" applyBorder="1"/>
    <xf numFmtId="1" fontId="1" fillId="2" borderId="15" xfId="50" applyNumberFormat="1" applyFont="1" applyFill="1" applyBorder="1" applyAlignment="1">
      <alignment horizontal="center"/>
    </xf>
    <xf numFmtId="38" fontId="1" fillId="2" borderId="15" xfId="50" applyNumberFormat="1" applyFont="1" applyFill="1" applyBorder="1" applyAlignment="1">
      <alignment horizontal="center"/>
    </xf>
    <xf numFmtId="177" fontId="1" fillId="2" borderId="15" xfId="50" applyNumberFormat="1" applyFont="1" applyFill="1" applyBorder="1" applyAlignment="1">
      <alignment horizontal="center"/>
    </xf>
    <xf numFmtId="180" fontId="1" fillId="2" borderId="15" xfId="50" applyNumberFormat="1" applyFont="1" applyFill="1" applyBorder="1" applyAlignment="1">
      <alignment horizontal="center"/>
    </xf>
    <xf numFmtId="0" fontId="1" fillId="2" borderId="0" xfId="50" applyFont="1" applyFill="1" applyBorder="1" applyAlignment="1">
      <alignment vertical="top"/>
    </xf>
    <xf numFmtId="15" fontId="1" fillId="2" borderId="0" xfId="50" applyNumberFormat="1" applyFont="1" applyFill="1" applyAlignment="1">
      <alignment horizontal="left" vertical="center"/>
    </xf>
    <xf numFmtId="0" fontId="1" fillId="2" borderId="0" xfId="50" applyFont="1" applyFill="1" applyAlignment="1">
      <alignment vertical="center"/>
    </xf>
    <xf numFmtId="1" fontId="1" fillId="2" borderId="0" xfId="50" applyNumberFormat="1" applyFont="1" applyFill="1" applyAlignment="1">
      <alignment horizontal="center" vertical="center"/>
    </xf>
    <xf numFmtId="38" fontId="1" fillId="2" borderId="0" xfId="50" applyNumberFormat="1" applyFont="1" applyFill="1" applyAlignment="1">
      <alignment horizontal="center" vertical="center"/>
    </xf>
    <xf numFmtId="177" fontId="1" fillId="2" borderId="0" xfId="50" applyNumberFormat="1" applyFont="1" applyFill="1" applyAlignment="1">
      <alignment horizontal="center" vertical="center"/>
    </xf>
    <xf numFmtId="180" fontId="1" fillId="2" borderId="0" xfId="50" applyNumberFormat="1" applyFont="1" applyFill="1" applyAlignment="1">
      <alignment horizontal="center" vertical="center"/>
    </xf>
    <xf numFmtId="1" fontId="1" fillId="2" borderId="0" xfId="50" applyNumberFormat="1" applyFont="1" applyFill="1" applyAlignment="1">
      <alignment horizontal="center"/>
    </xf>
    <xf numFmtId="0" fontId="1" fillId="3" borderId="0" xfId="50" applyFont="1" applyFill="1" applyBorder="1" applyAlignment="1">
      <alignment horizontal="left" vertical="top"/>
    </xf>
    <xf numFmtId="0" fontId="1" fillId="3" borderId="0" xfId="50" applyFont="1" applyFill="1" applyAlignment="1">
      <alignment horizontal="left" vertical="center" wrapText="1"/>
    </xf>
    <xf numFmtId="0" fontId="1" fillId="3" borderId="0" xfId="50" applyFont="1" applyFill="1" applyAlignment="1">
      <alignment horizontal="left" vertical="top" wrapText="1"/>
    </xf>
    <xf numFmtId="0" fontId="8" fillId="2" borderId="0" xfId="50" applyFont="1" applyFill="1" applyBorder="1"/>
    <xf numFmtId="0" fontId="8" fillId="2" borderId="0" xfId="50" applyFont="1" applyFill="1" applyBorder="1" applyAlignment="1">
      <alignment vertical="center"/>
    </xf>
    <xf numFmtId="0" fontId="1" fillId="2" borderId="0" xfId="50" applyFont="1" applyFill="1" applyBorder="1" applyAlignment="1">
      <alignment horizontal="center" vertical="center"/>
    </xf>
    <xf numFmtId="38" fontId="7" fillId="2" borderId="0" xfId="50" applyNumberFormat="1" applyFont="1" applyFill="1" applyBorder="1" applyAlignment="1">
      <alignment horizontal="center" vertical="center"/>
    </xf>
    <xf numFmtId="177" fontId="1" fillId="2" borderId="0" xfId="50" applyNumberFormat="1" applyFont="1" applyFill="1" applyBorder="1" applyAlignment="1">
      <alignment horizontal="center" vertical="center"/>
    </xf>
    <xf numFmtId="177" fontId="7" fillId="2" borderId="0" xfId="50" applyNumberFormat="1" applyFont="1" applyFill="1" applyBorder="1" applyAlignment="1">
      <alignment horizontal="center" vertical="center"/>
    </xf>
    <xf numFmtId="1" fontId="7" fillId="2" borderId="0" xfId="50" applyNumberFormat="1" applyFont="1" applyFill="1" applyBorder="1" applyAlignment="1">
      <alignment horizontal="center" vertical="center"/>
    </xf>
    <xf numFmtId="1" fontId="7" fillId="2" borderId="0" xfId="50" applyNumberFormat="1" applyFont="1" applyFill="1" applyBorder="1" applyAlignment="1">
      <alignment horizontal="center"/>
    </xf>
    <xf numFmtId="9" fontId="1" fillId="2" borderId="0" xfId="50" applyNumberFormat="1" applyFont="1" applyFill="1" applyBorder="1" applyAlignment="1">
      <alignment horizontal="left" vertical="center"/>
    </xf>
    <xf numFmtId="0" fontId="1" fillId="3" borderId="0" xfId="50" applyFont="1" applyFill="1" applyBorder="1" applyAlignment="1">
      <alignment vertical="center"/>
    </xf>
    <xf numFmtId="0" fontId="1" fillId="3" borderId="0" xfId="50" applyFont="1" applyFill="1" applyBorder="1" applyAlignment="1">
      <alignment horizontal="center" vertical="center"/>
    </xf>
    <xf numFmtId="30" fontId="1" fillId="3" borderId="0" xfId="50" applyNumberFormat="1" applyFont="1" applyFill="1" applyBorder="1" applyAlignment="1">
      <alignment horizontal="center" vertical="center"/>
    </xf>
    <xf numFmtId="177" fontId="1" fillId="3" borderId="0" xfId="50" applyNumberFormat="1" applyFont="1" applyFill="1" applyBorder="1" applyAlignment="1">
      <alignment horizontal="center" vertical="center"/>
    </xf>
    <xf numFmtId="0" fontId="7" fillId="3" borderId="0" xfId="50" applyFont="1" applyFill="1" applyBorder="1" applyAlignment="1">
      <alignment vertical="center"/>
    </xf>
    <xf numFmtId="0" fontId="7" fillId="3" borderId="0" xfId="50" applyFont="1" applyFill="1" applyBorder="1"/>
    <xf numFmtId="0" fontId="1" fillId="3" borderId="0" xfId="50" applyFont="1" applyFill="1" applyAlignment="1">
      <alignment horizontal="left" vertical="center"/>
    </xf>
    <xf numFmtId="0" fontId="1" fillId="3" borderId="0" xfId="50" applyFont="1" applyFill="1" applyBorder="1" applyAlignment="1">
      <alignment horizontal="center"/>
    </xf>
    <xf numFmtId="30" fontId="1" fillId="3" borderId="0" xfId="50" applyNumberFormat="1" applyFont="1" applyFill="1" applyBorder="1" applyAlignment="1">
      <alignment horizontal="center"/>
    </xf>
    <xf numFmtId="177" fontId="1" fillId="3" borderId="0" xfId="50" applyNumberFormat="1" applyFont="1" applyFill="1" applyBorder="1" applyAlignment="1">
      <alignment horizontal="center"/>
    </xf>
    <xf numFmtId="30" fontId="1" fillId="2" borderId="0" xfId="50" applyNumberFormat="1" applyFont="1" applyFill="1" applyBorder="1" applyAlignment="1">
      <alignment horizontal="center"/>
    </xf>
    <xf numFmtId="177" fontId="1" fillId="2" borderId="0" xfId="50" applyNumberFormat="1" applyFont="1" applyFill="1" applyBorder="1" applyAlignment="1">
      <alignment horizontal="left"/>
    </xf>
    <xf numFmtId="0" fontId="10" fillId="2" borderId="0" xfId="49" applyFont="1" applyFill="1" applyBorder="1"/>
    <xf numFmtId="0" fontId="10" fillId="2" borderId="16" xfId="49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rofu 11 buy" xfId="49"/>
    <cellStyle name="一般_WYR3" xfId="50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INESS@JMC-ME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zoomScale="90" zoomScaleNormal="90" topLeftCell="A17" workbookViewId="0">
      <selection activeCell="D30" sqref="D30:M30"/>
    </sheetView>
  </sheetViews>
  <sheetFormatPr defaultColWidth="8.625" defaultRowHeight="14.25"/>
  <cols>
    <col min="1" max="1" width="11.25" style="4" customWidth="1"/>
    <col min="2" max="2" width="11.8" style="4" customWidth="1"/>
    <col min="3" max="3" width="13.475" style="4" customWidth="1"/>
    <col min="4" max="4" width="16.8" style="4" customWidth="1"/>
    <col min="5" max="5" width="9.44166666666667" style="4" customWidth="1"/>
    <col min="6" max="6" width="9.16666666666667" style="4" customWidth="1"/>
    <col min="7" max="7" width="7.35833333333333" style="4" customWidth="1"/>
    <col min="8" max="8" width="9.16666666666667" style="4" customWidth="1"/>
    <col min="9" max="9" width="10.6916666666667" style="4" customWidth="1"/>
    <col min="10" max="10" width="13.1916666666667" style="4" customWidth="1"/>
    <col min="11" max="11" width="12.0833333333333" style="4" customWidth="1"/>
    <col min="12" max="12" width="9.44166666666667" style="4" customWidth="1"/>
    <col min="13" max="13" width="16.3833333333333" style="4" customWidth="1"/>
    <col min="14" max="15" width="18.4666666666667" style="4" customWidth="1"/>
    <col min="16" max="16384" width="8.625" style="4"/>
  </cols>
  <sheetData>
    <row r="1" s="1" customFormat="1" ht="60" customHeight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="1" customFormat="1" ht="21" customHeight="1" spans="1:16">
      <c r="D2" s="7"/>
      <c r="E2" s="7"/>
      <c r="F2" s="7"/>
      <c r="G2" s="7"/>
      <c r="H2" s="7"/>
      <c r="I2" s="8"/>
      <c r="J2" s="8"/>
      <c r="K2" s="8"/>
      <c r="L2" s="8" t="s">
        <v>1</v>
      </c>
      <c r="M2" s="9">
        <v>46248</v>
      </c>
      <c r="N2" s="10"/>
      <c r="O2" s="10"/>
    </row>
    <row r="3" s="1" customFormat="1" ht="21" customHeight="1" spans="1:16">
      <c r="D3" s="7"/>
      <c r="E3" s="7"/>
      <c r="F3" s="7"/>
      <c r="G3" s="7"/>
      <c r="H3" s="7"/>
      <c r="I3" s="8"/>
      <c r="J3" s="8"/>
      <c r="K3" s="8"/>
      <c r="L3" s="8" t="s">
        <v>2</v>
      </c>
      <c r="M3" s="9" t="s">
        <v>3</v>
      </c>
      <c r="N3" s="10"/>
      <c r="O3" s="10"/>
    </row>
    <row r="4" s="1" customFormat="1" ht="15.95" customHeight="1" spans="1:16">
      <c r="A4" s="1" t="s">
        <v>4</v>
      </c>
      <c r="C4" s="11" t="s">
        <v>5</v>
      </c>
      <c r="D4" s="12" t="s">
        <v>6</v>
      </c>
      <c r="E4" s="13"/>
      <c r="F4" s="14"/>
      <c r="I4" s="15"/>
      <c r="J4" s="1" t="s">
        <v>7</v>
      </c>
      <c r="K4" s="16" t="s">
        <v>8</v>
      </c>
      <c r="L4" s="17"/>
      <c r="M4" s="18"/>
      <c r="N4" s="19"/>
      <c r="O4" s="19"/>
    </row>
    <row r="5" s="1" customFormat="1" ht="15.95" customHeight="1" spans="1:16">
      <c r="D5" s="20" t="s">
        <v>9</v>
      </c>
      <c r="F5" s="21"/>
      <c r="I5" s="22"/>
      <c r="J5" s="22"/>
      <c r="K5" s="23" t="s">
        <v>10</v>
      </c>
      <c r="L5" s="23"/>
      <c r="M5" s="24"/>
      <c r="N5" s="19"/>
      <c r="O5" s="19"/>
    </row>
    <row r="6" s="1" customFormat="1" ht="15.95" customHeight="1" spans="1:16">
      <c r="D6" s="20" t="s">
        <v>11</v>
      </c>
      <c r="F6" s="21"/>
      <c r="I6" s="22"/>
      <c r="J6" s="22"/>
      <c r="K6" s="23" t="s">
        <v>12</v>
      </c>
      <c r="L6" s="22"/>
      <c r="M6" s="24"/>
      <c r="N6" s="19"/>
      <c r="O6" s="19"/>
    </row>
    <row r="7" s="1" customFormat="1" ht="15.95" customHeight="1" spans="1:16">
      <c r="D7" s="25" t="s">
        <v>13</v>
      </c>
      <c r="E7" s="26"/>
      <c r="F7" s="27"/>
      <c r="I7" s="28"/>
      <c r="J7" s="28"/>
      <c r="K7" s="29" t="s">
        <v>14</v>
      </c>
      <c r="L7" s="28"/>
      <c r="M7" s="24"/>
      <c r="N7" s="19"/>
      <c r="O7" s="19"/>
    </row>
    <row r="8" s="1" customFormat="1" ht="15.95" customHeight="1" spans="1:16">
      <c r="D8" s="20" t="s">
        <v>15</v>
      </c>
      <c r="F8" s="21"/>
      <c r="H8" s="28"/>
      <c r="I8" s="28"/>
      <c r="J8" s="30"/>
      <c r="K8" s="29" t="s">
        <v>16</v>
      </c>
      <c r="L8" s="30"/>
      <c r="M8" s="24"/>
      <c r="N8" s="19"/>
      <c r="O8" s="19"/>
    </row>
    <row r="9" s="1" customFormat="1" ht="15.95" customHeight="1" spans="1:16">
      <c r="D9" s="31" t="s">
        <v>17</v>
      </c>
      <c r="E9" s="32"/>
      <c r="F9" s="33"/>
      <c r="H9" s="28"/>
      <c r="I9" s="28"/>
      <c r="J9" s="30"/>
      <c r="K9" s="34"/>
      <c r="L9" s="35"/>
      <c r="M9" s="36"/>
      <c r="N9" s="19"/>
      <c r="O9" s="19"/>
    </row>
    <row r="10" s="1" customFormat="1" ht="15.95" customHeight="1" spans="1:16">
      <c r="A10" s="28"/>
      <c r="B10" s="28"/>
      <c r="C10" s="28"/>
      <c r="D10" s="28"/>
      <c r="E10" s="28"/>
      <c r="F10" s="28"/>
      <c r="G10" s="30"/>
      <c r="H10" s="19"/>
      <c r="I10" s="37"/>
      <c r="J10" s="37"/>
      <c r="K10" s="37"/>
      <c r="L10" s="37"/>
      <c r="M10" s="38"/>
      <c r="N10" s="38"/>
      <c r="O10" s="38"/>
    </row>
    <row r="11" s="1" customFormat="1" ht="15.95" customHeight="1" spans="1:16">
      <c r="G11" s="22"/>
      <c r="H11" s="22"/>
      <c r="I11" s="8"/>
      <c r="J11" s="39"/>
      <c r="K11" s="39"/>
      <c r="L11" s="39"/>
      <c r="M11" s="40"/>
      <c r="N11" s="40"/>
      <c r="O11" s="40"/>
    </row>
    <row r="12" s="1" customFormat="1" ht="15.95" customHeight="1" spans="1:16">
      <c r="A12" s="41"/>
      <c r="B12" s="42"/>
      <c r="C12" s="42"/>
      <c r="D12" s="42"/>
      <c r="E12" s="42"/>
      <c r="F12" s="42"/>
      <c r="G12" s="43"/>
      <c r="H12" s="44"/>
      <c r="I12" s="45"/>
      <c r="J12" s="45"/>
      <c r="K12" s="45"/>
      <c r="L12" s="45"/>
      <c r="M12" s="46"/>
      <c r="N12" s="47"/>
      <c r="O12" s="47"/>
    </row>
    <row r="13" s="2" customFormat="1" ht="36" customHeight="1" spans="1:16">
      <c r="A13" s="48" t="s">
        <v>18</v>
      </c>
      <c r="B13" s="48" t="s">
        <v>19</v>
      </c>
      <c r="C13" s="48" t="s">
        <v>20</v>
      </c>
      <c r="D13" s="49" t="s">
        <v>21</v>
      </c>
      <c r="E13" s="49"/>
      <c r="F13" s="49"/>
      <c r="G13" s="49"/>
      <c r="H13" s="49" t="s">
        <v>22</v>
      </c>
      <c r="I13" s="50" t="s">
        <v>23</v>
      </c>
      <c r="J13" s="51" t="s">
        <v>24</v>
      </c>
      <c r="K13" s="52" t="s">
        <v>25</v>
      </c>
      <c r="L13" s="53" t="s">
        <v>26</v>
      </c>
      <c r="M13" s="54" t="s">
        <v>27</v>
      </c>
      <c r="N13" s="55"/>
      <c r="O13" s="55"/>
      <c r="P13" s="1"/>
    </row>
    <row r="14" s="3" customFormat="1" ht="38" customHeight="1" spans="1:16">
      <c r="A14" s="56">
        <v>2.1</v>
      </c>
      <c r="B14" s="56">
        <v>269776</v>
      </c>
      <c r="C14" s="57" t="s">
        <v>28</v>
      </c>
      <c r="D14" s="58" t="s">
        <v>29</v>
      </c>
      <c r="E14" s="58"/>
      <c r="F14" s="58"/>
      <c r="G14" s="58"/>
      <c r="H14" s="59">
        <v>1264</v>
      </c>
      <c r="I14" s="60">
        <v>56.97</v>
      </c>
      <c r="J14" s="60">
        <f t="shared" ref="J14:J16" si="0">I14*H14</f>
        <v>72010.08</v>
      </c>
      <c r="K14" s="60">
        <f t="shared" ref="K14:K16" si="1">J14</f>
        <v>72010.08</v>
      </c>
      <c r="L14" s="61">
        <f>M2+60</f>
        <v>46308</v>
      </c>
      <c r="M14" s="62" t="s">
        <v>30</v>
      </c>
      <c r="N14" s="55"/>
      <c r="O14" s="55"/>
      <c r="P14" s="1"/>
    </row>
    <row r="15" s="3" customFormat="1" ht="38" customHeight="1" spans="1:16">
      <c r="A15" s="56"/>
      <c r="B15" s="56"/>
      <c r="C15" s="57"/>
      <c r="D15" s="58"/>
      <c r="E15" s="58"/>
      <c r="F15" s="58"/>
      <c r="G15" s="58"/>
      <c r="H15" s="59"/>
      <c r="I15" s="60"/>
      <c r="J15" s="60"/>
      <c r="K15" s="60"/>
      <c r="L15" s="61"/>
      <c r="M15" s="62"/>
      <c r="N15" s="55"/>
      <c r="O15" s="55"/>
      <c r="P15" s="1"/>
    </row>
    <row r="16" s="3" customFormat="1" ht="38" customHeight="1" spans="1:16">
      <c r="A16" s="56"/>
      <c r="B16" s="56"/>
      <c r="C16" s="57"/>
      <c r="D16" s="58"/>
      <c r="E16" s="58"/>
      <c r="F16" s="58"/>
      <c r="G16" s="58"/>
      <c r="H16" s="59"/>
      <c r="I16" s="60"/>
      <c r="J16" s="60"/>
      <c r="K16" s="60"/>
      <c r="L16" s="61"/>
      <c r="M16" s="62"/>
      <c r="N16" s="55"/>
      <c r="O16" s="55"/>
      <c r="P16" s="1"/>
    </row>
    <row r="17" s="3" customFormat="1" ht="38" customHeight="1" spans="1:16">
      <c r="A17" s="56"/>
      <c r="B17" s="56"/>
      <c r="C17" s="57"/>
      <c r="D17" s="58"/>
      <c r="E17" s="58"/>
      <c r="F17" s="58"/>
      <c r="G17" s="58"/>
      <c r="H17" s="59"/>
      <c r="I17" s="60"/>
      <c r="J17" s="60"/>
      <c r="K17" s="60"/>
      <c r="L17" s="63"/>
      <c r="M17" s="64"/>
      <c r="N17" s="55"/>
      <c r="O17" s="55"/>
      <c r="P17" s="1"/>
    </row>
    <row r="18" s="3" customFormat="1" ht="25.5" customHeight="1" spans="1:16">
      <c r="A18" s="65"/>
      <c r="B18" s="66"/>
      <c r="C18" s="57"/>
      <c r="D18" s="67"/>
      <c r="E18" s="68"/>
      <c r="F18" s="68"/>
      <c r="G18" s="69"/>
      <c r="H18" s="68"/>
      <c r="I18" s="70"/>
      <c r="J18" s="71"/>
      <c r="K18" s="72"/>
      <c r="L18" s="70"/>
      <c r="M18" s="73"/>
      <c r="N18" s="55"/>
      <c r="O18" s="55"/>
      <c r="P18" s="1"/>
    </row>
    <row r="19" s="1" customFormat="1" ht="25.5" customHeight="1" spans="1:16">
      <c r="A19" s="60"/>
      <c r="B19" s="60"/>
      <c r="C19" s="74"/>
      <c r="D19" s="75"/>
      <c r="E19" s="76"/>
      <c r="F19" s="76"/>
      <c r="G19" s="77"/>
      <c r="H19" s="76"/>
      <c r="I19" s="60"/>
      <c r="J19" s="78"/>
      <c r="K19" s="79"/>
      <c r="L19" s="60"/>
      <c r="M19" s="80"/>
      <c r="N19" s="81"/>
      <c r="O19" s="81"/>
    </row>
    <row r="20" s="1" customFormat="1" ht="25.5" customHeight="1" spans="1:16">
      <c r="A20" s="70"/>
      <c r="B20" s="60"/>
      <c r="C20" s="57"/>
      <c r="D20" s="67"/>
      <c r="E20" s="68"/>
      <c r="F20" s="68"/>
      <c r="G20" s="69"/>
      <c r="H20" s="68"/>
      <c r="I20" s="70"/>
      <c r="J20" s="71"/>
      <c r="K20" s="72"/>
      <c r="L20" s="70"/>
      <c r="M20" s="82"/>
      <c r="N20" s="81"/>
      <c r="O20" s="81"/>
    </row>
    <row r="21" s="1" customFormat="1" ht="25.5" customHeight="1" spans="1:16">
      <c r="A21" s="83" t="s">
        <v>31</v>
      </c>
      <c r="B21" s="84"/>
      <c r="C21" s="84"/>
      <c r="D21" s="84"/>
      <c r="E21" s="84"/>
      <c r="F21" s="84"/>
      <c r="G21" s="85"/>
      <c r="H21" s="68"/>
      <c r="I21" s="70"/>
      <c r="J21" s="71"/>
      <c r="K21" s="72"/>
      <c r="L21" s="70"/>
      <c r="M21" s="82"/>
      <c r="N21" s="81"/>
      <c r="O21" s="81"/>
    </row>
    <row r="22" s="1" customFormat="1" ht="25.5" customHeight="1" spans="1:16">
      <c r="A22" s="70" t="s">
        <v>32</v>
      </c>
      <c r="B22" s="86" t="s">
        <v>33</v>
      </c>
      <c r="C22" s="58" t="s">
        <v>27</v>
      </c>
      <c r="D22" s="58"/>
      <c r="E22" s="58"/>
      <c r="F22" s="58"/>
      <c r="G22" s="58"/>
      <c r="H22" s="68"/>
      <c r="I22" s="70"/>
      <c r="J22" s="71"/>
      <c r="K22" s="72"/>
      <c r="L22" s="70"/>
      <c r="M22" s="82"/>
      <c r="N22" s="81"/>
      <c r="O22" s="81"/>
    </row>
    <row r="23" s="1" customFormat="1" ht="25.5" customHeight="1" spans="1:16">
      <c r="A23" s="70"/>
      <c r="B23" s="70"/>
      <c r="C23" s="87"/>
      <c r="D23" s="88"/>
      <c r="E23" s="88"/>
      <c r="F23" s="88"/>
      <c r="G23" s="89"/>
      <c r="H23" s="68"/>
      <c r="I23" s="70"/>
      <c r="J23" s="71"/>
      <c r="K23" s="72"/>
      <c r="L23" s="70"/>
      <c r="M23" s="82"/>
      <c r="N23" s="81"/>
      <c r="O23" s="81"/>
    </row>
    <row r="24" s="1" customFormat="1" ht="25.5" customHeight="1" spans="1:16">
      <c r="A24" s="60"/>
      <c r="B24" s="90"/>
      <c r="C24" s="87"/>
      <c r="D24" s="88"/>
      <c r="E24" s="88"/>
      <c r="F24" s="88"/>
      <c r="G24" s="89"/>
      <c r="H24" s="76"/>
      <c r="I24" s="60"/>
      <c r="J24" s="78"/>
      <c r="K24" s="79"/>
      <c r="L24" s="60"/>
      <c r="M24" s="80"/>
      <c r="N24" s="81"/>
      <c r="O24" s="81"/>
    </row>
    <row r="25" s="1" customFormat="1" ht="25.5" customHeight="1" spans="1:16">
      <c r="A25" s="70"/>
      <c r="B25" s="91"/>
      <c r="C25" s="87"/>
      <c r="D25" s="88"/>
      <c r="E25" s="88"/>
      <c r="F25" s="88"/>
      <c r="G25" s="89"/>
      <c r="H25" s="68"/>
      <c r="I25" s="70"/>
      <c r="J25" s="71"/>
      <c r="K25" s="72"/>
      <c r="L25" s="70"/>
      <c r="M25" s="82"/>
      <c r="N25" s="81"/>
      <c r="O25" s="81"/>
    </row>
    <row r="26" s="1" customFormat="1" ht="23.25" customHeight="1" spans="1:16">
      <c r="A26" s="92"/>
      <c r="B26" s="93"/>
      <c r="C26" s="32"/>
      <c r="D26" s="32"/>
      <c r="E26" s="32"/>
      <c r="F26" s="32"/>
      <c r="G26" s="94" t="s">
        <v>34</v>
      </c>
      <c r="H26" s="95">
        <f>SUM(H14:H20)</f>
        <v>1264</v>
      </c>
      <c r="I26" s="96"/>
      <c r="J26" s="97"/>
      <c r="K26" s="97">
        <f>SUM(K14:K20)</f>
        <v>72010.08</v>
      </c>
      <c r="L26" s="98"/>
      <c r="M26" s="99"/>
      <c r="N26" s="100"/>
      <c r="O26" s="100"/>
    </row>
    <row r="27" s="1" customFormat="1" ht="23.25" customHeight="1" spans="1:16">
      <c r="A27" s="101" t="s">
        <v>35</v>
      </c>
      <c r="B27" s="101"/>
      <c r="C27" s="102"/>
      <c r="D27" s="102"/>
      <c r="E27" s="102"/>
      <c r="F27" s="102"/>
      <c r="G27" s="103"/>
      <c r="H27" s="104"/>
      <c r="I27" s="105"/>
      <c r="J27" s="106"/>
      <c r="K27" s="106"/>
      <c r="L27" s="106"/>
      <c r="M27" s="103"/>
      <c r="N27" s="100"/>
      <c r="O27" s="100"/>
    </row>
    <row r="28" s="1" customFormat="1" ht="23.25" customHeight="1" spans="1:16">
      <c r="A28" s="107" t="s">
        <v>36</v>
      </c>
      <c r="B28" s="107"/>
      <c r="D28" s="108" t="s">
        <v>37</v>
      </c>
      <c r="E28" s="109"/>
      <c r="F28" s="109"/>
      <c r="G28" s="110"/>
      <c r="H28" s="111"/>
      <c r="I28" s="112"/>
      <c r="J28" s="113"/>
      <c r="K28" s="113"/>
      <c r="L28" s="113"/>
      <c r="M28" s="110"/>
      <c r="N28" s="114"/>
      <c r="O28" s="114"/>
    </row>
    <row r="29" s="1" customFormat="1" ht="23.25" customHeight="1" spans="1:16">
      <c r="A29" s="107" t="s">
        <v>38</v>
      </c>
      <c r="B29" s="107"/>
      <c r="D29" s="108" t="s">
        <v>39</v>
      </c>
      <c r="E29" s="109"/>
      <c r="F29" s="109"/>
      <c r="G29" s="110"/>
      <c r="H29" s="111"/>
      <c r="I29" s="112"/>
      <c r="J29" s="113"/>
      <c r="K29" s="113"/>
      <c r="L29" s="113"/>
      <c r="M29" s="110"/>
      <c r="N29" s="114"/>
      <c r="O29" s="114"/>
    </row>
    <row r="30" s="1" customFormat="1" ht="29" customHeight="1" spans="1:16">
      <c r="A30" s="115" t="s">
        <v>40</v>
      </c>
      <c r="B30" s="115"/>
      <c r="C30" s="28"/>
      <c r="D30" s="116" t="s">
        <v>41</v>
      </c>
      <c r="E30" s="116"/>
      <c r="F30" s="116"/>
      <c r="G30" s="116"/>
      <c r="H30" s="116"/>
      <c r="I30" s="116"/>
      <c r="J30" s="116"/>
      <c r="K30" s="116"/>
      <c r="L30" s="116"/>
      <c r="M30" s="116"/>
      <c r="N30" s="117"/>
      <c r="O30" s="117"/>
    </row>
    <row r="31" s="1" customFormat="1" ht="24" customHeight="1" spans="1:16">
      <c r="A31" s="1" t="s">
        <v>42</v>
      </c>
      <c r="C31" s="118"/>
      <c r="D31" s="3" t="s">
        <v>43</v>
      </c>
      <c r="E31" s="119"/>
      <c r="F31" s="3"/>
      <c r="G31" s="120"/>
      <c r="H31" s="121"/>
      <c r="I31" s="122"/>
      <c r="J31" s="123"/>
      <c r="K31" s="123"/>
      <c r="L31" s="123"/>
      <c r="M31" s="124"/>
      <c r="N31" s="125"/>
      <c r="O31" s="125"/>
    </row>
    <row r="32" s="1" customFormat="1" ht="10" customHeight="1" spans="1:16">
      <c r="C32" s="118"/>
      <c r="D32" s="3"/>
      <c r="E32" s="119"/>
      <c r="F32" s="3"/>
      <c r="G32" s="120"/>
      <c r="H32" s="121"/>
      <c r="I32" s="122"/>
      <c r="J32" s="123"/>
      <c r="K32" s="123"/>
      <c r="L32" s="123"/>
      <c r="M32" s="124"/>
      <c r="N32" s="125"/>
      <c r="O32" s="125"/>
    </row>
    <row r="33" s="1" customFormat="1" ht="15.95" customHeight="1" spans="1:15">
      <c r="A33" s="1" t="s">
        <v>44</v>
      </c>
      <c r="C33" s="118"/>
      <c r="D33" s="126">
        <v>0</v>
      </c>
      <c r="E33" s="119"/>
      <c r="F33" s="3"/>
      <c r="G33" s="120"/>
      <c r="H33" s="121"/>
      <c r="I33" s="122"/>
      <c r="J33" s="123"/>
      <c r="K33" s="123"/>
      <c r="L33" s="123"/>
      <c r="M33" s="124"/>
      <c r="N33" s="125"/>
      <c r="O33" s="125"/>
    </row>
    <row r="34" s="1" customFormat="1" ht="9" customHeight="1" spans="1:15">
      <c r="A34" s="28"/>
      <c r="B34" s="28"/>
      <c r="C34" s="28"/>
      <c r="D34" s="127"/>
      <c r="E34" s="127"/>
      <c r="F34" s="127"/>
      <c r="G34" s="128"/>
      <c r="H34" s="129"/>
      <c r="I34" s="130"/>
      <c r="J34" s="130"/>
      <c r="K34" s="130"/>
      <c r="L34" s="130"/>
      <c r="M34" s="131"/>
      <c r="N34" s="132"/>
      <c r="O34" s="132"/>
    </row>
    <row r="35" s="1" customFormat="1" ht="15.95" customHeight="1" spans="1:15">
      <c r="A35" s="28" t="s">
        <v>45</v>
      </c>
      <c r="B35" s="28"/>
      <c r="C35" s="28"/>
      <c r="D35" s="133" t="s">
        <v>46</v>
      </c>
      <c r="E35" s="133"/>
      <c r="F35" s="133"/>
      <c r="G35" s="133"/>
      <c r="H35" s="133"/>
      <c r="I35" s="130"/>
      <c r="J35" s="130"/>
      <c r="K35" s="130"/>
      <c r="L35" s="130"/>
      <c r="M35" s="131"/>
      <c r="N35" s="132"/>
      <c r="O35" s="132"/>
    </row>
    <row r="36" s="1" customFormat="1" ht="15.95" customHeight="1" spans="1:15">
      <c r="A36" s="28"/>
      <c r="B36" s="28"/>
      <c r="C36" s="28"/>
      <c r="D36" s="127" t="s">
        <v>47</v>
      </c>
      <c r="E36" s="127"/>
      <c r="F36" s="127"/>
      <c r="G36" s="128"/>
      <c r="H36" s="129"/>
      <c r="I36" s="130"/>
      <c r="J36" s="130"/>
      <c r="K36" s="130"/>
      <c r="L36" s="130"/>
      <c r="M36" s="131"/>
      <c r="N36" s="132"/>
      <c r="O36" s="132"/>
    </row>
    <row r="37" s="1" customFormat="1" ht="15.95" customHeight="1" spans="1:15">
      <c r="A37" s="28"/>
      <c r="B37" s="28"/>
      <c r="C37" s="28"/>
      <c r="D37" s="133" t="s">
        <v>48</v>
      </c>
      <c r="E37" s="133"/>
      <c r="F37" s="133"/>
      <c r="G37" s="133"/>
      <c r="H37" s="133"/>
      <c r="I37" s="116"/>
      <c r="J37" s="116"/>
      <c r="K37" s="116"/>
      <c r="L37" s="116"/>
      <c r="M37" s="131"/>
      <c r="N37" s="132"/>
      <c r="O37" s="132"/>
    </row>
    <row r="38" s="1" customFormat="1" ht="10" customHeight="1" spans="1:15">
      <c r="A38" s="28"/>
      <c r="B38" s="28"/>
      <c r="C38" s="28"/>
      <c r="D38" s="127"/>
      <c r="E38" s="127"/>
      <c r="F38" s="127"/>
      <c r="G38" s="128"/>
      <c r="H38" s="129"/>
      <c r="I38" s="130"/>
      <c r="J38" s="130"/>
      <c r="K38" s="130"/>
      <c r="L38" s="130"/>
      <c r="M38" s="131"/>
      <c r="N38" s="132"/>
      <c r="O38" s="132"/>
    </row>
    <row r="39" s="1" customFormat="1" ht="15.95" customHeight="1" spans="1:15">
      <c r="A39" s="28"/>
      <c r="B39" s="28"/>
      <c r="C39" s="28"/>
      <c r="D39" s="127" t="s">
        <v>49</v>
      </c>
      <c r="E39" s="127"/>
      <c r="F39" s="127"/>
      <c r="G39" s="128"/>
      <c r="H39" s="129"/>
      <c r="I39" s="130"/>
      <c r="J39" s="130"/>
      <c r="K39" s="130"/>
      <c r="L39" s="130"/>
      <c r="M39" s="131"/>
      <c r="N39" s="132"/>
      <c r="O39" s="132"/>
    </row>
    <row r="40" s="1" customFormat="1" ht="15.95" customHeight="1" spans="1:15">
      <c r="A40" s="28"/>
      <c r="B40" s="28"/>
      <c r="C40" s="28"/>
      <c r="D40" s="127" t="s">
        <v>50</v>
      </c>
      <c r="E40" s="127"/>
      <c r="F40" s="127"/>
      <c r="G40" s="128"/>
      <c r="H40" s="129"/>
      <c r="I40" s="130"/>
      <c r="J40" s="130"/>
      <c r="K40" s="130"/>
      <c r="L40" s="130"/>
      <c r="M40" s="131"/>
      <c r="N40" s="132"/>
      <c r="O40" s="132"/>
    </row>
    <row r="41" s="1" customFormat="1" ht="15.95" customHeight="1" spans="1:15">
      <c r="A41" s="28"/>
      <c r="B41" s="28"/>
      <c r="C41" s="28"/>
      <c r="D41" s="127" t="s">
        <v>51</v>
      </c>
      <c r="E41" s="127"/>
      <c r="F41" s="127"/>
      <c r="G41" s="128"/>
      <c r="H41" s="129"/>
      <c r="I41" s="130"/>
      <c r="J41" s="130"/>
      <c r="K41" s="130"/>
      <c r="L41" s="130"/>
      <c r="M41" s="131"/>
      <c r="N41" s="132"/>
      <c r="O41" s="132"/>
    </row>
    <row r="42" s="1" customFormat="1" ht="15.95" customHeight="1" spans="1:15">
      <c r="A42" s="28"/>
      <c r="B42" s="28"/>
      <c r="C42" s="28"/>
      <c r="D42" s="127"/>
      <c r="E42" s="127"/>
      <c r="F42" s="127"/>
      <c r="G42" s="128"/>
      <c r="H42" s="129"/>
      <c r="I42" s="130"/>
      <c r="J42" s="130"/>
      <c r="K42" s="130"/>
      <c r="L42" s="130"/>
      <c r="M42" s="131"/>
      <c r="N42" s="132"/>
      <c r="O42" s="132"/>
    </row>
    <row r="43" s="1" customFormat="1" ht="15.95" customHeight="1" spans="1:15">
      <c r="A43" s="28" t="s">
        <v>52</v>
      </c>
      <c r="B43" s="28"/>
      <c r="C43" s="28"/>
      <c r="D43" s="127" t="s">
        <v>53</v>
      </c>
      <c r="E43" s="127"/>
      <c r="F43" s="127"/>
      <c r="G43" s="128"/>
      <c r="H43" s="129"/>
      <c r="I43" s="130"/>
      <c r="J43" s="130"/>
      <c r="K43" s="130"/>
      <c r="L43" s="130"/>
      <c r="M43" s="131"/>
      <c r="N43" s="132"/>
      <c r="O43" s="132"/>
    </row>
    <row r="44" s="1" customFormat="1" ht="15.95" customHeight="1" spans="1:15">
      <c r="A44" s="28"/>
      <c r="B44" s="28"/>
      <c r="C44" s="28"/>
      <c r="D44" s="28"/>
      <c r="E44" s="28"/>
      <c r="F44" s="28"/>
      <c r="G44" s="134"/>
      <c r="H44" s="135"/>
      <c r="I44" s="136"/>
      <c r="J44" s="136"/>
      <c r="K44" s="136"/>
      <c r="L44" s="136"/>
      <c r="M44" s="132"/>
      <c r="N44" s="132"/>
      <c r="O44" s="132"/>
    </row>
    <row r="45" s="1" customFormat="1" ht="15.95" customHeight="1" spans="1:15">
      <c r="G45" s="11"/>
      <c r="H45" s="137"/>
      <c r="I45" s="39"/>
      <c r="J45" s="1" t="s">
        <v>6</v>
      </c>
      <c r="M45" s="40"/>
      <c r="N45" s="40"/>
      <c r="O45" s="40"/>
    </row>
    <row r="46" s="1" customFormat="1" ht="15.95" customHeight="1" spans="1:15">
      <c r="G46" s="11"/>
      <c r="H46" s="137"/>
      <c r="I46" s="138"/>
      <c r="J46" s="139"/>
      <c r="K46" s="139"/>
      <c r="L46" s="139"/>
      <c r="M46" s="139"/>
      <c r="N46" s="139"/>
      <c r="O46" s="139"/>
    </row>
    <row r="47" ht="15" spans="1:15">
      <c r="J47" s="140"/>
      <c r="K47" s="140"/>
      <c r="L47" s="140"/>
      <c r="M47" s="140"/>
      <c r="N47" s="139"/>
      <c r="O47" s="139"/>
    </row>
  </sheetData>
  <mergeCells count="19">
    <mergeCell ref="A1:M1"/>
    <mergeCell ref="K4:L4"/>
    <mergeCell ref="I6:J6"/>
    <mergeCell ref="K6:L6"/>
    <mergeCell ref="D7:F7"/>
    <mergeCell ref="D13:G13"/>
    <mergeCell ref="D14:G14"/>
    <mergeCell ref="D15:G15"/>
    <mergeCell ref="D16:G16"/>
    <mergeCell ref="D17:G17"/>
    <mergeCell ref="D18:G18"/>
    <mergeCell ref="D19:G19"/>
    <mergeCell ref="D20:G20"/>
    <mergeCell ref="A21:G21"/>
    <mergeCell ref="C22:G22"/>
    <mergeCell ref="C23:G23"/>
    <mergeCell ref="C24:G24"/>
    <mergeCell ref="C25:G25"/>
    <mergeCell ref="D30:M30"/>
  </mergeCells>
  <hyperlinks>
    <hyperlink ref="D9" r:id="rId1" display="BUSINESS@JMC-METAL.COM" tooltip="mailto:BUSINESS@JMC-METAL.COM"/>
  </hyperlinks>
  <pageMargins left="0.354166666666667" right="0.314583333333333" top="0.314583333333333" bottom="1" header="0.196527777777778" footer="0.507638888888889"/>
  <pageSetup paperSize="9" scale="60" fitToHeight="0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ideason</dc:creator>
  <cp:lastModifiedBy>贝拉</cp:lastModifiedBy>
  <dcterms:created xsi:type="dcterms:W3CDTF">2018-07-22T08:46:00Z</dcterms:created>
  <cp:lastPrinted>2020-12-17T01:45:00Z</cp:lastPrinted>
  <dcterms:modified xsi:type="dcterms:W3CDTF">2026-08-14T07:57:59Z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AED99F6FA1724F818258E3DEFA7F6444_13</vt:lpwstr>
  </property>
  <property fmtid="{D5CDD505-2E9C-101B-9397-08002B2CF9AE}" pid="4" name="CalculationRule">
    <vt:i4>0</vt:i4>
  </property>
</Properties>
</file>