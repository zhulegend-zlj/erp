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-跟单资料\2026年出货资料\8月\2026.08.14 EU 1x40HQ 智锐恒 未出发票\"/>
    </mc:Choice>
  </mc:AlternateContent>
  <bookViews>
    <workbookView windowWidth="19545" windowHeight="7695" activeTab="1"/>
  </bookViews>
  <sheets>
    <sheet name="Commercial invoice" sheetId="2" r:id="rId1"/>
    <sheet name="Packing list" sheetId="3" r:id="rId2"/>
  </sheets>
  <definedNames>
    <definedName name="Incoterm">#REF!</definedName>
    <definedName name="_xlnm.Print_Area" localSheetId="1">'Packing list'!$A$1:$K$49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<sst xmlns="http://schemas.openxmlformats.org/spreadsheetml/2006/main" count="168" uniqueCount="86">
  <si>
    <t>Commercial invoice</t>
  </si>
  <si>
    <t>Invoice Number:</t>
  </si>
  <si>
    <t>ZRHS20260814002</t>
  </si>
  <si>
    <t>Date:</t>
  </si>
  <si>
    <t>shipper:</t>
  </si>
  <si>
    <t>Dongguan Zhiruiheng Electronic Co., Ltd</t>
  </si>
  <si>
    <t>Room 201, No.239 Changhuang Road, Changping Town,Dongguan Guangdong Province 528536 China</t>
  </si>
  <si>
    <t>Contact: bl@jmc-metal.com;BUSINESS@JMC-METAL.COM</t>
  </si>
  <si>
    <t>Consignee:</t>
  </si>
  <si>
    <t>CORSAIR COMPONENTS LTD</t>
  </si>
  <si>
    <r>
      <rPr>
        <sz val="11"/>
        <rFont val="Arial"/>
        <charset val="134"/>
      </rPr>
      <t>1020 ESKDALE ROAD WINNERSH TRIANGLE</t>
    </r>
    <r>
      <rPr>
        <sz val="11"/>
        <rFont val="宋体"/>
        <charset val="134"/>
      </rPr>
      <t>，</t>
    </r>
    <r>
      <rPr>
        <sz val="11"/>
        <rFont val="Arial"/>
        <charset val="134"/>
      </rPr>
      <t>WOKINGHAM,RG41 5TS GB</t>
    </r>
  </si>
  <si>
    <t>UNITED KINGDOM</t>
  </si>
  <si>
    <t>VAT#: NL827571732B01</t>
  </si>
  <si>
    <t>EORI: NL827571732</t>
  </si>
  <si>
    <t>Notity Party:</t>
  </si>
  <si>
    <t>Corsair Components, Ltd - BEM</t>
  </si>
  <si>
    <t>ATTN: RECEIVING</t>
  </si>
  <si>
    <t>C/O Corsair Memory BV</t>
  </si>
  <si>
    <t>DHL Supply Chain Bemmel</t>
  </si>
  <si>
    <t>Nijverheidstraat 51a</t>
  </si>
  <si>
    <t>Bemmel, 6681 LN，Netherlands</t>
  </si>
  <si>
    <t>Contact: Sasha Amoateng &lt;sasha.amoateng@corsair.com&gt;</t>
  </si>
  <si>
    <t>Line#</t>
  </si>
  <si>
    <t>Item#</t>
  </si>
  <si>
    <t>Description</t>
  </si>
  <si>
    <t>PO#</t>
  </si>
  <si>
    <t>Quantity</t>
  </si>
  <si>
    <t>Unit Price</t>
  </si>
  <si>
    <t>Amount</t>
  </si>
  <si>
    <t>Lot. No.</t>
  </si>
  <si>
    <t>(pcs.)</t>
  </si>
  <si>
    <t>(CNY)</t>
  </si>
  <si>
    <t>CSP_V3</t>
  </si>
  <si>
    <t>CLUBSPORT PEDALE V3</t>
  </si>
  <si>
    <t>268180</t>
  </si>
  <si>
    <t>ABO4D6305</t>
  </si>
  <si>
    <t>269019</t>
  </si>
  <si>
    <t>ABO4D6321</t>
  </si>
  <si>
    <t>CRD-9040002-WW</t>
  </si>
  <si>
    <t>CLUBSPORT SHIFTER SQ V 1.5 WITH USB ADAPTER</t>
  </si>
  <si>
    <t>268817</t>
  </si>
  <si>
    <t>AD14D6301</t>
  </si>
  <si>
    <t>CSP_V3I</t>
  </si>
  <si>
    <t>CLUBSPORT PEDALE V3 INVERTIERT</t>
  </si>
  <si>
    <t>ABO7D6331</t>
  </si>
  <si>
    <t>CSP_V3_BPK</t>
  </si>
  <si>
    <t>CLUBSPORT PEDALS V3 BRAKE PERFORMANCE KIT</t>
  </si>
  <si>
    <t>269776</t>
  </si>
  <si>
    <t>ABO5D6341</t>
  </si>
  <si>
    <t>SP-CSP_V3_LOADCELL</t>
  </si>
  <si>
    <t>CSP V3 LOAD CELL</t>
  </si>
  <si>
    <t>269959</t>
  </si>
  <si>
    <t>ADOED6333</t>
  </si>
  <si>
    <t>SP-RJ12_RJ12-120</t>
  </si>
  <si>
    <t>RJ12 TO RJ12 CABLE - 120 CM</t>
  </si>
  <si>
    <t>ADQID6336</t>
  </si>
  <si>
    <t>MARK:FANATEC</t>
  </si>
  <si>
    <t xml:space="preserve"> </t>
  </si>
  <si>
    <t>Total amount:</t>
  </si>
  <si>
    <t>SAY CNY ONE MILLION FOUR HUNDRED THIRTY-ONE THOUSAND ONE HUNDRED AND NINETY-TWO CENTS THIRTY-TWO ONLY.</t>
  </si>
  <si>
    <t xml:space="preserve">Incoterm: </t>
  </si>
  <si>
    <t>FCA</t>
  </si>
  <si>
    <t>Transport Details:</t>
  </si>
  <si>
    <t>BY Ocean</t>
  </si>
  <si>
    <t xml:space="preserve">Vessel/Voyage-No.: </t>
  </si>
  <si>
    <t>CMA CGM ZHENG HE / 0FMMMW1MA</t>
  </si>
  <si>
    <t>ETD:</t>
  </si>
  <si>
    <t>ETA:</t>
  </si>
  <si>
    <t>Land of  origin:</t>
  </si>
  <si>
    <t>China</t>
  </si>
  <si>
    <t>customs tariff number: 9504 50 0000</t>
  </si>
  <si>
    <t xml:space="preserve">description of goods: </t>
  </si>
  <si>
    <t xml:space="preserve">PACKING LIST </t>
  </si>
  <si>
    <t xml:space="preserve">Email: business@jmc-metal.com </t>
  </si>
  <si>
    <t xml:space="preserve">Package </t>
  </si>
  <si>
    <t>net weight</t>
  </si>
  <si>
    <t>Gross weight</t>
  </si>
  <si>
    <t>Measurement</t>
  </si>
  <si>
    <t>(CTN)</t>
  </si>
  <si>
    <t xml:space="preserve"> (kg)</t>
  </si>
  <si>
    <t>(kg)</t>
  </si>
  <si>
    <t>(CBM)</t>
  </si>
  <si>
    <t>HBL#
SZXS010223
CONTANER:
CMAU4943970
SEAL:
J2559942</t>
  </si>
  <si>
    <t>HBL#
SZX31198544
CONTANER:
TXGU6822380 
SEAL:
M5871814</t>
  </si>
  <si>
    <t>HBL#
SZX31192884
CONTANER:
SELU4535980 
SEAL:
M4492285</t>
  </si>
  <si>
    <t>SAY TOTAL ONE THOUSAND FOUR HUNDRED AND FOURTEEN CARTONS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</si>
</sst>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_D_M_-;\-* #,##0.00\ _D_M_-;_-* &quot;-&quot;??\ _D_M_-;_-@_-"/>
    <numFmt numFmtId="177" formatCode="yyyy\/m\/d;@"/>
    <numFmt numFmtId="178" formatCode="0_);[Red]\(0\)"/>
    <numFmt numFmtId="179" formatCode="0.00_);[Red]\(0.00\)"/>
    <numFmt numFmtId="180" formatCode="yyyy/m/d;@"/>
    <numFmt numFmtId="181" formatCode="0.00_ "/>
    <numFmt numFmtId="182" formatCode="\¥#,##0.00;\¥\-#,##0.00"/>
    <numFmt numFmtId="183" formatCode="#,##0.000"/>
  </numFmts>
  <fonts count="41">
    <font>
      <sz val="11"/>
      <color indexed="8"/>
      <name val="宋体"/>
      <charset val="134"/>
    </font>
    <font>
      <sz val="10"/>
      <color indexed="8"/>
      <name val="Arial"/>
      <charset val="134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b/>
      <sz val="11"/>
      <name val="Arial"/>
      <charset val="134"/>
    </font>
    <font>
      <sz val="11"/>
      <color indexed="30"/>
      <name val="Arial"/>
      <charset val="134"/>
    </font>
    <font>
      <sz val="11"/>
      <name val="Arial"/>
      <charset val="134"/>
    </font>
    <font>
      <sz val="10"/>
      <color indexed="30"/>
      <name val="Arial"/>
      <charset val="134"/>
    </font>
    <font>
      <u/>
      <sz val="11"/>
      <color rgb="FF0000FF"/>
      <name val="宋体"/>
      <charset val="0"/>
      <scheme val="minor"/>
    </font>
    <font>
      <sz val="10"/>
      <name val="Tahoma"/>
      <charset val="134"/>
    </font>
    <font>
      <sz val="10"/>
      <color indexed="8"/>
      <name val="Arial"/>
      <charset val="0"/>
    </font>
    <font>
      <sz val="10"/>
      <name val="Arial"/>
      <charset val="134"/>
    </font>
    <font>
      <sz val="11"/>
      <color indexed="8"/>
      <name val="Calibri"/>
      <charset val="134"/>
    </font>
    <font>
      <b/>
      <sz val="12"/>
      <color indexed="8"/>
      <name val="Arial"/>
      <charset val="134"/>
    </font>
    <font>
      <sz val="10"/>
      <color indexed="8"/>
      <name val="微软雅黑"/>
      <charset val="134"/>
    </font>
    <font>
      <sz val="12"/>
      <color rgb="FF000000"/>
      <name val="Arial"/>
      <charset val="134"/>
    </font>
    <font>
      <sz val="18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Verdana"/>
      <charset val="134"/>
    </font>
    <font>
      <sz val="11"/>
      <name val="Times New Roman"/>
      <charset val="134"/>
    </font>
    <font>
      <sz val="16"/>
      <name val="華康中楷體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8"/>
      </bottom>
      <diagonal/>
    </border>
  </borders>
  <cellStyleXfs count="6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2" borderId="1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19" applyNumberFormat="0" applyAlignment="0" applyProtection="0">
      <alignment vertical="center"/>
    </xf>
    <xf numFmtId="0" fontId="26" fillId="4" borderId="20" applyNumberFormat="0" applyAlignment="0" applyProtection="0">
      <alignment vertical="center"/>
    </xf>
    <xf numFmtId="0" fontId="27" fillId="4" borderId="19" applyNumberFormat="0" applyAlignment="0" applyProtection="0">
      <alignment vertical="center"/>
    </xf>
    <xf numFmtId="0" fontId="28" fillId="5" borderId="21" applyNumberFormat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36" fillId="33" borderId="0" applyBorder="0">
      <alignment vertical="center"/>
    </xf>
    <xf numFmtId="0" fontId="11" fillId="0" borderId="0">
      <alignment vertical="center"/>
    </xf>
    <xf numFmtId="0" fontId="37" fillId="0" borderId="0" applyNumberFormat="0" applyFill="0" applyBorder="0" applyProtection="0">
      <alignment vertical="top" wrapText="1"/>
    </xf>
    <xf numFmtId="177" fontId="17" fillId="0" borderId="0"/>
    <xf numFmtId="0" fontId="17" fillId="0" borderId="0"/>
    <xf numFmtId="0" fontId="17" fillId="0" borderId="0"/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38" fillId="0" borderId="24"/>
    <xf numFmtId="0" fontId="39" fillId="0" borderId="0"/>
  </cellStyleXfs>
  <cellXfs count="93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Border="1" applyAlignment="1"/>
    <xf numFmtId="0" fontId="3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left"/>
    </xf>
    <xf numFmtId="0" fontId="3" fillId="0" borderId="2" xfId="0" applyFont="1" applyBorder="1" applyAlignment="1"/>
    <xf numFmtId="0" fontId="5" fillId="0" borderId="2" xfId="50" applyNumberFormat="1" applyFont="1" applyFill="1" applyBorder="1" applyAlignment="1">
      <alignment horizontal="left" vertical="center"/>
    </xf>
    <xf numFmtId="0" fontId="2" fillId="0" borderId="2" xfId="0" applyFont="1" applyBorder="1" applyAlignment="1"/>
    <xf numFmtId="0" fontId="5" fillId="0" borderId="0" xfId="50" applyNumberFormat="1" applyFont="1" applyFill="1" applyBorder="1" applyAlignment="1">
      <alignment horizontal="left" vertical="center"/>
    </xf>
    <xf numFmtId="0" fontId="2" fillId="0" borderId="1" xfId="0" applyNumberFormat="1" applyFont="1" applyBorder="1" applyAlignment="1"/>
    <xf numFmtId="0" fontId="6" fillId="0" borderId="0" xfId="0" applyFont="1" applyAlignment="1"/>
    <xf numFmtId="0" fontId="7" fillId="0" borderId="0" xfId="50" applyNumberFormat="1" applyFont="1" applyFill="1" applyBorder="1" applyAlignment="1">
      <alignment horizontal="left" vertical="center"/>
    </xf>
    <xf numFmtId="0" fontId="2" fillId="0" borderId="0" xfId="0" applyNumberFormat="1" applyFont="1" applyBorder="1" applyAlignment="1"/>
    <xf numFmtId="0" fontId="3" fillId="0" borderId="0" xfId="0" applyFont="1" applyBorder="1" applyAlignment="1"/>
    <xf numFmtId="0" fontId="8" fillId="0" borderId="1" xfId="6" applyBorder="1" applyAlignment="1"/>
    <xf numFmtId="0" fontId="2" fillId="0" borderId="1" xfId="0" applyFont="1" applyBorder="1" applyAlignme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 shrinkToFit="1"/>
    </xf>
    <xf numFmtId="0" fontId="11" fillId="0" borderId="3" xfId="0" applyFont="1" applyFill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1" fillId="0" borderId="9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78" fontId="13" fillId="0" borderId="3" xfId="0" applyNumberFormat="1" applyFont="1" applyBorder="1" applyAlignment="1">
      <alignment horizontal="center" vertical="center"/>
    </xf>
    <xf numFmtId="179" fontId="13" fillId="0" borderId="3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78" fontId="13" fillId="0" borderId="0" xfId="0" applyNumberFormat="1" applyFont="1" applyBorder="1" applyAlignment="1">
      <alignment horizontal="center" vertical="center"/>
    </xf>
    <xf numFmtId="179" fontId="13" fillId="0" borderId="0" xfId="0" applyNumberFormat="1" applyFont="1" applyBorder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right"/>
    </xf>
    <xf numFmtId="0" fontId="14" fillId="0" borderId="0" xfId="0" applyFont="1" applyAlignment="1"/>
    <xf numFmtId="178" fontId="2" fillId="0" borderId="0" xfId="0" applyNumberFormat="1" applyFont="1" applyAlignment="1"/>
    <xf numFmtId="0" fontId="1" fillId="0" borderId="10" xfId="0" applyFont="1" applyBorder="1" applyAlignment="1">
      <alignment horizontal="left"/>
    </xf>
    <xf numFmtId="0" fontId="2" fillId="0" borderId="10" xfId="0" applyFont="1" applyBorder="1" applyAlignment="1"/>
    <xf numFmtId="0" fontId="1" fillId="0" borderId="10" xfId="0" applyFont="1" applyBorder="1" applyAlignment="1"/>
    <xf numFmtId="0" fontId="2" fillId="0" borderId="2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6" fillId="0" borderId="0" xfId="0" applyFont="1" applyBorder="1" applyAlignment="1"/>
    <xf numFmtId="0" fontId="6" fillId="0" borderId="2" xfId="0" applyFont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180" fontId="6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right"/>
    </xf>
    <xf numFmtId="180" fontId="6" fillId="0" borderId="1" xfId="0" applyNumberFormat="1" applyFont="1" applyBorder="1" applyAlignment="1">
      <alignment horizontal="left" vertical="center"/>
    </xf>
    <xf numFmtId="0" fontId="2" fillId="0" borderId="11" xfId="0" applyFont="1" applyBorder="1" applyAlignment="1"/>
    <xf numFmtId="0" fontId="2" fillId="0" borderId="9" xfId="0" applyFont="1" applyBorder="1" applyAlignment="1"/>
    <xf numFmtId="0" fontId="6" fillId="0" borderId="10" xfId="0" applyFont="1" applyBorder="1" applyAlignment="1"/>
    <xf numFmtId="0" fontId="15" fillId="0" borderId="0" xfId="0" applyFont="1" applyAlignment="1">
      <alignment vertical="center" wrapText="1"/>
    </xf>
    <xf numFmtId="0" fontId="1" fillId="0" borderId="0" xfId="0" applyFont="1" applyBorder="1" applyAlignment="1"/>
    <xf numFmtId="0" fontId="1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left"/>
    </xf>
    <xf numFmtId="177" fontId="2" fillId="0" borderId="0" xfId="0" applyNumberFormat="1" applyFont="1" applyBorder="1" applyAlignment="1"/>
    <xf numFmtId="0" fontId="7" fillId="0" borderId="2" xfId="50" applyNumberFormat="1" applyFont="1" applyFill="1" applyBorder="1" applyAlignment="1">
      <alignment horizontal="left" vertical="center"/>
    </xf>
    <xf numFmtId="0" fontId="7" fillId="0" borderId="2" xfId="50" applyNumberFormat="1" applyFont="1" applyFill="1" applyBorder="1" applyAlignment="1">
      <alignment horizontal="left" vertical="center" indent="1"/>
    </xf>
    <xf numFmtId="0" fontId="7" fillId="0" borderId="0" xfId="50" applyNumberFormat="1" applyFont="1" applyFill="1" applyBorder="1" applyAlignment="1">
      <alignment horizontal="left" vertical="center" indent="1"/>
    </xf>
    <xf numFmtId="0" fontId="2" fillId="0" borderId="1" xfId="0" applyNumberFormat="1" applyFont="1" applyFill="1" applyBorder="1" applyAlignment="1"/>
    <xf numFmtId="0" fontId="6" fillId="0" borderId="0" xfId="0" applyNumberFormat="1" applyFont="1" applyFill="1" applyBorder="1" applyAlignment="1">
      <alignment wrapText="1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181" fontId="11" fillId="0" borderId="3" xfId="1" applyNumberFormat="1" applyFont="1" applyBorder="1" applyAlignment="1">
      <alignment horizontal="center" vertical="center"/>
    </xf>
    <xf numFmtId="181" fontId="11" fillId="0" borderId="3" xfId="0" applyNumberFormat="1" applyFont="1" applyBorder="1" applyAlignment="1">
      <alignment horizontal="center" vertical="center"/>
    </xf>
    <xf numFmtId="179" fontId="1" fillId="0" borderId="7" xfId="0" applyNumberFormat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3" fillId="0" borderId="14" xfId="0" applyFont="1" applyBorder="1" applyAlignment="1"/>
    <xf numFmtId="182" fontId="3" fillId="0" borderId="15" xfId="0" applyNumberFormat="1" applyFont="1" applyBorder="1" applyAlignment="1"/>
    <xf numFmtId="183" fontId="2" fillId="0" borderId="0" xfId="0" applyNumberFormat="1" applyFont="1" applyBorder="1" applyAlignment="1"/>
    <xf numFmtId="0" fontId="1" fillId="0" borderId="0" xfId="0" applyFont="1" applyFill="1" applyAlignment="1">
      <alignment horizontal="right"/>
    </xf>
    <xf numFmtId="0" fontId="1" fillId="0" borderId="0" xfId="0" applyFont="1" applyFill="1" applyAlignment="1"/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Komma 2" xfId="49"/>
    <cellStyle name="Standard 2" xfId="50"/>
    <cellStyle name="Standard 3" xfId="51"/>
    <cellStyle name="常规 2" xfId="52"/>
    <cellStyle name="常规 2 2 3 4 2" xfId="53"/>
    <cellStyle name="常规 31" xfId="54"/>
    <cellStyle name="常规 32" xfId="55"/>
    <cellStyle name="常规 4 2" xfId="56"/>
    <cellStyle name="常规 42" xfId="57"/>
    <cellStyle name="普通 2" xfId="58"/>
    <cellStyle name="普通 3" xfId="59"/>
    <cellStyle name="一般_rofu 11 buy" xfId="60"/>
    <cellStyle name="一般_WYR3" xfId="61"/>
  </cellStyles>
  <tableStyles count="0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0"/>
  <sheetViews>
    <sheetView workbookViewId="0">
      <selection activeCell="F5" sqref="F5"/>
    </sheetView>
  </sheetViews>
  <sheetFormatPr defaultColWidth="9" defaultRowHeight="14.25"/>
  <cols>
    <col min="1" max="1" width="9" style="2" customWidth="1"/>
    <col min="2" max="2" width="20.5" style="2" customWidth="1"/>
    <col min="3" max="3" width="43.625" style="2" customWidth="1"/>
    <col min="4" max="4" width="18.625" style="2" customWidth="1"/>
    <col min="5" max="5" width="12.25" style="2" customWidth="1"/>
    <col min="6" max="6" width="13.375" style="2" customWidth="1"/>
    <col min="7" max="7" width="15.25" style="2" customWidth="1"/>
    <col min="8" max="8" width="13.375" style="2" customWidth="1"/>
    <col min="9" max="9" width="16" style="2" customWidth="1"/>
    <col min="10" max="16384" width="9" style="2"/>
  </cols>
  <sheetData>
    <row r="1" ht="23.25" spans="1:10">
      <c r="A1" s="69" t="s">
        <v>0</v>
      </c>
      <c r="B1" s="69"/>
      <c r="C1" s="69"/>
      <c r="D1" s="69"/>
      <c r="E1" s="69"/>
      <c r="F1" s="69"/>
      <c r="G1" s="69"/>
      <c r="H1" s="69"/>
    </row>
    <row r="2" ht="13.5" customHeight="1"/>
    <row r="3" ht="13.5" customHeight="1" spans="1:10">
      <c r="E3" s="70" t="s">
        <v>1</v>
      </c>
      <c r="F3" s="71" t="s">
        <v>2</v>
      </c>
      <c r="G3" s="71"/>
    </row>
    <row r="4" ht="13.5" customHeight="1" spans="1:10">
      <c r="E4" s="70" t="s">
        <v>3</v>
      </c>
      <c r="F4" s="72">
        <v>46248</v>
      </c>
      <c r="G4" s="72"/>
      <c r="H4" s="73"/>
    </row>
    <row r="5" ht="15" spans="1:10">
      <c r="A5" s="10" t="s">
        <v>4</v>
      </c>
      <c r="B5" s="12"/>
      <c r="C5" s="74"/>
      <c r="D5" s="75"/>
      <c r="E5" s="12"/>
      <c r="F5" s="12"/>
      <c r="G5" s="12"/>
      <c r="H5" s="7"/>
    </row>
    <row r="6" spans="1:10">
      <c r="A6" s="2" t="s">
        <v>5</v>
      </c>
      <c r="B6" s="7"/>
      <c r="C6" s="16"/>
      <c r="D6" s="76"/>
      <c r="E6" s="7"/>
      <c r="F6" s="7"/>
      <c r="G6" s="7"/>
      <c r="H6" s="7"/>
    </row>
    <row r="7" spans="1:10">
      <c r="A7" s="2" t="s">
        <v>6</v>
      </c>
      <c r="B7" s="7"/>
      <c r="C7" s="16"/>
      <c r="D7" s="76"/>
      <c r="E7" s="7"/>
      <c r="F7" s="7"/>
      <c r="G7" s="7"/>
      <c r="H7" s="7"/>
    </row>
    <row r="8" spans="1:10">
      <c r="A8" s="2" t="s">
        <v>7</v>
      </c>
      <c r="B8" s="7"/>
      <c r="C8" s="16"/>
      <c r="D8" s="76"/>
      <c r="E8" s="7"/>
      <c r="F8" s="7"/>
      <c r="G8" s="7"/>
      <c r="H8" s="7"/>
    </row>
    <row r="9" spans="1:10">
      <c r="B9" s="7"/>
      <c r="C9" s="16"/>
      <c r="D9" s="76"/>
      <c r="E9" s="7"/>
      <c r="F9" s="7"/>
      <c r="G9" s="7"/>
      <c r="H9" s="7"/>
    </row>
    <row r="10" spans="1:10">
      <c r="B10" s="7"/>
      <c r="C10" s="16"/>
      <c r="D10" s="76"/>
      <c r="E10" s="7"/>
      <c r="F10" s="7"/>
      <c r="G10" s="7"/>
      <c r="H10" s="7"/>
    </row>
    <row r="11" spans="1:10">
      <c r="B11" s="7"/>
      <c r="C11" s="16"/>
      <c r="D11" s="76"/>
      <c r="E11" s="7"/>
      <c r="F11" s="7"/>
      <c r="G11" s="7"/>
      <c r="H11" s="7"/>
    </row>
    <row r="12" s="2" customFormat="1" ht="15" spans="1:10">
      <c r="A12" s="10" t="s">
        <v>8</v>
      </c>
      <c r="B12" s="10"/>
      <c r="C12" s="11"/>
      <c r="D12" s="12"/>
      <c r="E12" s="12"/>
      <c r="F12" s="12"/>
      <c r="G12" s="12"/>
    </row>
    <row r="13" s="2" customFormat="1" spans="1:10">
      <c r="A13" s="15" t="s">
        <v>9</v>
      </c>
      <c r="B13" s="7"/>
      <c r="C13" s="16"/>
      <c r="D13" s="7"/>
      <c r="E13" s="7"/>
      <c r="F13" s="7"/>
      <c r="G13" s="7"/>
    </row>
    <row r="14" s="2" customFormat="1" spans="1:10">
      <c r="A14" s="15" t="s">
        <v>10</v>
      </c>
      <c r="B14" s="7"/>
      <c r="C14" s="16"/>
      <c r="D14" s="7"/>
      <c r="E14" s="7"/>
      <c r="F14" s="7"/>
      <c r="G14" s="7"/>
    </row>
    <row r="15" s="2" customFormat="1" spans="1:10">
      <c r="A15" s="15" t="s">
        <v>11</v>
      </c>
      <c r="B15" s="7"/>
      <c r="C15" s="16"/>
      <c r="D15" s="7"/>
      <c r="E15" s="7"/>
      <c r="F15" s="7"/>
      <c r="G15" s="7"/>
    </row>
    <row r="16" s="2" customFormat="1" spans="1:10">
      <c r="A16" s="7" t="s">
        <v>12</v>
      </c>
      <c r="B16" s="7"/>
      <c r="C16" s="13"/>
      <c r="D16" s="7"/>
      <c r="E16" s="7"/>
      <c r="F16" s="7"/>
      <c r="G16" s="7"/>
      <c r="H16" s="17"/>
      <c r="I16" s="17"/>
      <c r="J16" s="7"/>
    </row>
    <row r="17" s="2" customFormat="1" spans="1:10">
      <c r="A17" s="7" t="s">
        <v>13</v>
      </c>
      <c r="B17" s="7"/>
      <c r="C17" s="13"/>
      <c r="D17" s="7"/>
      <c r="E17" s="7"/>
      <c r="F17" s="7"/>
      <c r="G17" s="7"/>
      <c r="H17" s="17"/>
      <c r="I17" s="17"/>
      <c r="J17" s="7"/>
    </row>
    <row r="18" s="2" customFormat="1" spans="1:10">
      <c r="A18" s="7"/>
      <c r="B18" s="7"/>
      <c r="C18" s="13"/>
      <c r="D18" s="7"/>
      <c r="E18" s="7"/>
      <c r="F18" s="7"/>
      <c r="G18" s="7"/>
      <c r="H18" s="17"/>
      <c r="I18" s="17"/>
      <c r="J18" s="7"/>
    </row>
    <row r="19" s="2" customFormat="1" ht="15" spans="1:10">
      <c r="A19" s="10" t="s">
        <v>14</v>
      </c>
      <c r="B19" s="10"/>
      <c r="C19" s="11"/>
      <c r="D19" s="12"/>
      <c r="E19" s="12"/>
      <c r="F19" s="12"/>
      <c r="G19" s="12"/>
      <c r="H19" s="7"/>
      <c r="I19" s="7"/>
      <c r="J19" s="7"/>
    </row>
    <row r="20" s="2" customFormat="1" ht="15" spans="1:10">
      <c r="A20" s="15" t="s">
        <v>15</v>
      </c>
      <c r="B20" s="18"/>
      <c r="C20" s="13"/>
      <c r="D20" s="7"/>
      <c r="E20" s="7"/>
      <c r="F20" s="7"/>
      <c r="G20" s="7"/>
    </row>
    <row r="21" s="2" customFormat="1" ht="15" spans="1:10">
      <c r="A21" s="15" t="s">
        <v>16</v>
      </c>
      <c r="B21" s="18"/>
      <c r="C21" s="13"/>
      <c r="D21" s="7"/>
      <c r="E21" s="7"/>
      <c r="F21" s="7"/>
      <c r="G21" s="7"/>
    </row>
    <row r="22" s="2" customFormat="1" spans="1:10">
      <c r="A22" s="15" t="s">
        <v>17</v>
      </c>
      <c r="B22" s="7"/>
      <c r="C22" s="16"/>
      <c r="D22" s="7"/>
      <c r="E22" s="7"/>
      <c r="F22" s="7"/>
      <c r="G22" s="7"/>
    </row>
    <row r="23" s="2" customFormat="1" spans="1:10">
      <c r="A23" s="15" t="s">
        <v>18</v>
      </c>
      <c r="B23" s="7"/>
      <c r="C23" s="16"/>
      <c r="D23" s="7"/>
      <c r="E23" s="7"/>
      <c r="F23" s="7"/>
      <c r="G23" s="7"/>
    </row>
    <row r="24" s="2" customFormat="1" spans="1:10">
      <c r="A24" s="15" t="s">
        <v>19</v>
      </c>
      <c r="B24" s="7"/>
      <c r="C24" s="16"/>
      <c r="D24" s="7"/>
      <c r="E24" s="7"/>
      <c r="F24" s="7"/>
      <c r="G24" s="7"/>
    </row>
    <row r="25" s="2" customFormat="1" spans="1:10">
      <c r="A25" s="15" t="s">
        <v>20</v>
      </c>
      <c r="B25" s="7"/>
      <c r="C25" s="13"/>
      <c r="D25" s="7"/>
      <c r="E25" s="7"/>
      <c r="F25" s="7"/>
      <c r="G25" s="7"/>
      <c r="H25" s="17"/>
      <c r="I25" s="17"/>
      <c r="J25" s="7"/>
    </row>
    <row r="26" s="2" customFormat="1" spans="1:10">
      <c r="A26" s="15" t="s">
        <v>21</v>
      </c>
      <c r="B26" s="7"/>
      <c r="C26" s="13"/>
      <c r="D26" s="7"/>
      <c r="E26" s="7"/>
      <c r="F26" s="7"/>
      <c r="G26" s="7"/>
      <c r="H26" s="17"/>
      <c r="I26" s="17"/>
      <c r="J26" s="7"/>
    </row>
    <row r="27" spans="1:10">
      <c r="A27" s="77"/>
      <c r="B27" s="77"/>
      <c r="C27" s="78"/>
      <c r="D27" s="78"/>
      <c r="E27" s="78"/>
      <c r="F27" s="78"/>
      <c r="G27" s="78"/>
      <c r="H27" s="78"/>
      <c r="I27" s="17"/>
    </row>
    <row r="28" ht="15" customHeight="1" spans="1:10">
      <c r="A28" s="21" t="s">
        <v>22</v>
      </c>
      <c r="B28" s="22" t="s">
        <v>23</v>
      </c>
      <c r="C28" s="79" t="s">
        <v>24</v>
      </c>
      <c r="D28" s="24" t="s">
        <v>25</v>
      </c>
      <c r="E28" s="80" t="s">
        <v>26</v>
      </c>
      <c r="F28" s="80" t="s">
        <v>27</v>
      </c>
      <c r="G28" s="80" t="s">
        <v>28</v>
      </c>
      <c r="H28" s="23" t="s">
        <v>29</v>
      </c>
      <c r="I28" s="17"/>
    </row>
    <row r="29" ht="15" spans="1:10">
      <c r="A29" s="21"/>
      <c r="B29" s="26"/>
      <c r="C29" s="81"/>
      <c r="D29" s="21"/>
      <c r="E29" s="80" t="s">
        <v>30</v>
      </c>
      <c r="F29" s="80" t="s">
        <v>31</v>
      </c>
      <c r="G29" s="80" t="s">
        <v>31</v>
      </c>
      <c r="H29" s="28"/>
      <c r="I29" s="17"/>
    </row>
    <row r="30" s="68" customFormat="1" ht="28" customHeight="1" spans="1:10">
      <c r="A30" s="29">
        <v>1.1</v>
      </c>
      <c r="B30" s="29" t="s">
        <v>32</v>
      </c>
      <c r="C30" s="30" t="s">
        <v>33</v>
      </c>
      <c r="D30" s="31" t="s">
        <v>34</v>
      </c>
      <c r="E30" s="31">
        <v>270</v>
      </c>
      <c r="F30" s="33">
        <v>992.98</v>
      </c>
      <c r="G30" s="82">
        <f t="shared" ref="G30:G36" si="0">F30*E30</f>
        <v>268104.6</v>
      </c>
      <c r="H30" s="33" t="s">
        <v>35</v>
      </c>
      <c r="I30" s="17"/>
    </row>
    <row r="31" s="68" customFormat="1" ht="24" customHeight="1" spans="1:10">
      <c r="A31" s="29">
        <v>1.1</v>
      </c>
      <c r="B31" s="29" t="s">
        <v>32</v>
      </c>
      <c r="C31" s="30" t="s">
        <v>33</v>
      </c>
      <c r="D31" s="31" t="s">
        <v>36</v>
      </c>
      <c r="E31" s="31">
        <v>788</v>
      </c>
      <c r="F31" s="33">
        <v>992.98</v>
      </c>
      <c r="G31" s="82">
        <f t="shared" si="0"/>
        <v>782468.24</v>
      </c>
      <c r="H31" s="33" t="s">
        <v>37</v>
      </c>
    </row>
    <row r="32" s="68" customFormat="1" ht="24" customHeight="1" spans="1:10">
      <c r="A32" s="29">
        <v>1.1</v>
      </c>
      <c r="B32" s="29" t="s">
        <v>38</v>
      </c>
      <c r="C32" s="30" t="s">
        <v>39</v>
      </c>
      <c r="D32" s="31" t="s">
        <v>40</v>
      </c>
      <c r="E32" s="31">
        <v>180</v>
      </c>
      <c r="F32" s="33">
        <v>519.66</v>
      </c>
      <c r="G32" s="82">
        <f t="shared" si="0"/>
        <v>93538.8</v>
      </c>
      <c r="H32" s="33" t="s">
        <v>41</v>
      </c>
    </row>
    <row r="33" s="68" customFormat="1" ht="24" customHeight="1" spans="1:8">
      <c r="A33" s="31">
        <v>2.2</v>
      </c>
      <c r="B33" s="29" t="s">
        <v>42</v>
      </c>
      <c r="C33" s="30" t="s">
        <v>43</v>
      </c>
      <c r="D33" s="31" t="s">
        <v>36</v>
      </c>
      <c r="E33" s="31">
        <v>150</v>
      </c>
      <c r="F33" s="33">
        <v>1404.32</v>
      </c>
      <c r="G33" s="82">
        <f t="shared" si="0"/>
        <v>210648</v>
      </c>
      <c r="H33" s="33" t="s">
        <v>44</v>
      </c>
    </row>
    <row r="34" s="68" customFormat="1" ht="24" customHeight="1" spans="1:8">
      <c r="A34" s="31">
        <v>2.1</v>
      </c>
      <c r="B34" s="29" t="s">
        <v>45</v>
      </c>
      <c r="C34" s="30" t="s">
        <v>46</v>
      </c>
      <c r="D34" s="31" t="s">
        <v>47</v>
      </c>
      <c r="E34" s="31">
        <v>1264</v>
      </c>
      <c r="F34" s="33">
        <v>56.97</v>
      </c>
      <c r="G34" s="82">
        <f t="shared" si="0"/>
        <v>72010.08</v>
      </c>
      <c r="H34" s="33" t="s">
        <v>48</v>
      </c>
    </row>
    <row r="35" s="68" customFormat="1" ht="24" customHeight="1" spans="1:8">
      <c r="A35" s="31">
        <v>1.1</v>
      </c>
      <c r="B35" s="36" t="s">
        <v>49</v>
      </c>
      <c r="C35" s="30" t="s">
        <v>50</v>
      </c>
      <c r="D35" s="31" t="s">
        <v>51</v>
      </c>
      <c r="E35" s="31">
        <v>150</v>
      </c>
      <c r="F35" s="33">
        <v>28.94</v>
      </c>
      <c r="G35" s="82">
        <f t="shared" si="0"/>
        <v>4341</v>
      </c>
      <c r="H35" s="33" t="s">
        <v>52</v>
      </c>
    </row>
    <row r="36" s="68" customFormat="1" ht="22.5" customHeight="1" spans="1:8">
      <c r="A36" s="31">
        <v>2.1</v>
      </c>
      <c r="B36" s="36" t="s">
        <v>53</v>
      </c>
      <c r="C36" s="30" t="s">
        <v>54</v>
      </c>
      <c r="D36" s="31" t="s">
        <v>51</v>
      </c>
      <c r="E36" s="31">
        <v>20</v>
      </c>
      <c r="F36" s="33">
        <v>4.08</v>
      </c>
      <c r="G36" s="82">
        <f t="shared" si="0"/>
        <v>81.6</v>
      </c>
      <c r="H36" s="33" t="s">
        <v>55</v>
      </c>
    </row>
    <row r="37" s="68" customFormat="1" ht="22.5" customHeight="1" spans="1:8">
      <c r="A37" s="38"/>
      <c r="B37" s="38"/>
      <c r="C37" s="39"/>
      <c r="D37" s="40"/>
      <c r="E37" s="40"/>
      <c r="F37" s="83"/>
      <c r="G37" s="82"/>
      <c r="H37" s="84"/>
    </row>
    <row r="38" spans="1:8">
      <c r="A38" s="4"/>
      <c r="B38" s="4"/>
      <c r="C38" s="85" t="s">
        <v>56</v>
      </c>
      <c r="D38" s="86"/>
      <c r="F38" s="87"/>
    </row>
    <row r="39" ht="16.5" customHeight="1" spans="1:8">
      <c r="E39" s="20"/>
      <c r="F39" s="20"/>
      <c r="G39" s="20"/>
    </row>
    <row r="40" ht="25.5" customHeight="1" spans="1:8">
      <c r="C40" s="2" t="s">
        <v>57</v>
      </c>
      <c r="E40" s="88" t="s">
        <v>58</v>
      </c>
      <c r="F40" s="88"/>
      <c r="G40" s="89">
        <f>SUM(G30:G37)</f>
        <v>1431192.32</v>
      </c>
    </row>
    <row r="41" spans="1:8">
      <c r="H41" s="90"/>
    </row>
    <row r="42" spans="1:8">
      <c r="A42" s="91" t="s">
        <v>59</v>
      </c>
      <c r="B42" s="91"/>
      <c r="C42" s="91"/>
      <c r="D42" s="91"/>
      <c r="E42" s="91"/>
      <c r="F42" s="91"/>
      <c r="G42" s="91"/>
      <c r="H42" s="92"/>
    </row>
    <row r="43" spans="1:8">
      <c r="A43" s="2" t="s">
        <v>57</v>
      </c>
    </row>
    <row r="44" spans="1:8">
      <c r="F44" s="20"/>
      <c r="G44" s="20"/>
      <c r="H44" s="7"/>
    </row>
    <row r="45" spans="1:8">
      <c r="A45" s="53" t="s">
        <v>60</v>
      </c>
      <c r="B45" s="53"/>
      <c r="C45" s="56" t="s">
        <v>61</v>
      </c>
      <c r="D45" s="55"/>
      <c r="E45" s="55"/>
      <c r="F45" s="20"/>
      <c r="G45" s="20"/>
      <c r="H45" s="7"/>
    </row>
    <row r="46" customHeight="1" spans="1:8">
      <c r="A46" s="56" t="s">
        <v>62</v>
      </c>
      <c r="B46" s="56"/>
      <c r="C46" s="56" t="s">
        <v>63</v>
      </c>
      <c r="D46" s="57" t="s">
        <v>64</v>
      </c>
      <c r="E46" s="58" t="s">
        <v>65</v>
      </c>
      <c r="F46" s="59"/>
      <c r="G46" s="59"/>
      <c r="H46" s="7"/>
    </row>
    <row r="47" spans="1:8">
      <c r="A47" s="20"/>
      <c r="B47" s="60"/>
      <c r="D47" s="57" t="s">
        <v>66</v>
      </c>
      <c r="E47" s="61">
        <v>46252</v>
      </c>
      <c r="F47" s="62" t="s">
        <v>67</v>
      </c>
      <c r="G47" s="63">
        <v>46288</v>
      </c>
      <c r="H47" s="7"/>
    </row>
    <row r="48" spans="1:8">
      <c r="A48" s="64" t="s">
        <v>68</v>
      </c>
      <c r="B48" s="65"/>
      <c r="C48" s="54" t="s">
        <v>69</v>
      </c>
      <c r="D48" s="54"/>
      <c r="E48" s="54"/>
      <c r="F48" s="54"/>
      <c r="G48" s="54"/>
      <c r="H48" s="7"/>
    </row>
    <row r="49" spans="1:8">
      <c r="A49" s="66" t="s">
        <v>70</v>
      </c>
      <c r="B49" s="54"/>
      <c r="C49" s="54"/>
      <c r="D49" s="54"/>
      <c r="E49" s="54"/>
      <c r="F49" s="54"/>
      <c r="G49" s="54"/>
      <c r="H49" s="7"/>
    </row>
    <row r="50" spans="1:8">
      <c r="A50" s="54" t="s">
        <v>71</v>
      </c>
      <c r="B50" s="54"/>
      <c r="C50" s="54"/>
      <c r="D50" s="54"/>
      <c r="E50" s="54"/>
      <c r="F50" s="54"/>
      <c r="G50" s="54"/>
      <c r="H50" s="7"/>
    </row>
  </sheetData>
  <mergeCells count="12">
    <mergeCell ref="A1:H1"/>
    <mergeCell ref="F3:G3"/>
    <mergeCell ref="F4:G4"/>
    <mergeCell ref="C38:D38"/>
    <mergeCell ref="A42:G42"/>
    <mergeCell ref="A45:B45"/>
    <mergeCell ref="A46:B46"/>
    <mergeCell ref="A28:A29"/>
    <mergeCell ref="B28:B29"/>
    <mergeCell ref="C28:C29"/>
    <mergeCell ref="D28:D29"/>
    <mergeCell ref="H28:H29"/>
  </mergeCells>
  <dataValidations count="1">
    <dataValidation type="list" allowBlank="1" showInputMessage="1" showErrorMessage="1" sqref="C45:D45">
      <formula1>Incoterm</formula1>
    </dataValidation>
  </dataValidations>
  <pageMargins left="0.45" right="0.47" top="0.786805555555556" bottom="0.786805555555556" header="0.3" footer="0.3"/>
  <pageSetup paperSize="9" scale="6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3"/>
  <sheetViews>
    <sheetView tabSelected="1" topLeftCell="A27" workbookViewId="0">
      <selection activeCell="D37" sqref="D37"/>
    </sheetView>
  </sheetViews>
  <sheetFormatPr defaultColWidth="9" defaultRowHeight="14.25"/>
  <cols>
    <col min="1" max="1" width="6.75" style="2" customWidth="1"/>
    <col min="2" max="2" width="21.875" style="2" customWidth="1"/>
    <col min="3" max="3" width="39.125" style="2" customWidth="1"/>
    <col min="4" max="4" width="13.5" style="2" customWidth="1"/>
    <col min="5" max="5" width="9.5" style="2" customWidth="1"/>
    <col min="6" max="6" width="9.125" style="2" customWidth="1"/>
    <col min="7" max="7" width="11.375" style="2" customWidth="1"/>
    <col min="8" max="9" width="13.25" style="2" customWidth="1"/>
    <col min="10" max="10" width="11.75" style="2" customWidth="1"/>
    <col min="11" max="11" width="14.375" style="2" customWidth="1"/>
    <col min="12" max="16384" width="9" style="2"/>
  </cols>
  <sheetData>
    <row r="1" ht="15" customHeight="1" spans="1:11">
      <c r="A1" s="3" t="s">
        <v>72</v>
      </c>
      <c r="B1" s="3"/>
      <c r="C1" s="3"/>
      <c r="D1" s="3"/>
      <c r="E1" s="3"/>
      <c r="F1" s="3"/>
      <c r="G1" s="3"/>
      <c r="H1" s="3"/>
      <c r="I1" s="3"/>
      <c r="J1" s="3"/>
    </row>
    <row r="2" ht="13.5" customHeight="1" spans="1:11">
      <c r="A2" s="3"/>
      <c r="B2" s="3"/>
      <c r="C2" s="3"/>
      <c r="D2" s="3"/>
      <c r="E2" s="3"/>
      <c r="F2" s="3"/>
      <c r="G2" s="3"/>
      <c r="H2" s="3"/>
      <c r="I2" s="3"/>
      <c r="J2" s="3"/>
    </row>
    <row r="3" ht="13.5" customHeight="1" spans="1:11">
      <c r="F3" s="4"/>
      <c r="G3" s="5" t="s">
        <v>1</v>
      </c>
      <c r="H3" s="6" t="s">
        <v>2</v>
      </c>
      <c r="I3" s="6"/>
      <c r="J3" s="6"/>
      <c r="K3" s="7"/>
    </row>
    <row r="4" ht="13.5" customHeight="1" spans="1:11">
      <c r="F4" s="4"/>
      <c r="G4" s="8" t="s">
        <v>3</v>
      </c>
      <c r="H4" s="9">
        <v>46248</v>
      </c>
      <c r="I4" s="9"/>
      <c r="J4" s="9"/>
      <c r="K4" s="7"/>
    </row>
    <row r="5" ht="15" spans="1:11">
      <c r="A5" s="10" t="s">
        <v>4</v>
      </c>
      <c r="B5" s="10"/>
      <c r="C5" s="11"/>
      <c r="D5" s="12"/>
      <c r="E5" s="12"/>
      <c r="F5" s="12"/>
      <c r="G5" s="12"/>
      <c r="K5" s="7"/>
    </row>
    <row r="6" spans="1:11">
      <c r="A6" s="2" t="s">
        <v>5</v>
      </c>
      <c r="B6" s="7"/>
      <c r="C6" s="13"/>
      <c r="D6" s="7"/>
      <c r="E6" s="7"/>
      <c r="F6" s="7"/>
      <c r="G6" s="7"/>
    </row>
    <row r="7" spans="1:11">
      <c r="A7" s="2" t="s">
        <v>6</v>
      </c>
      <c r="B7" s="7"/>
      <c r="C7" s="13"/>
      <c r="D7" s="7"/>
      <c r="E7" s="7"/>
      <c r="F7" s="7"/>
      <c r="G7" s="7"/>
    </row>
    <row r="8" spans="1:11">
      <c r="A8" s="2" t="s">
        <v>73</v>
      </c>
      <c r="B8" s="7"/>
      <c r="C8" s="13"/>
      <c r="D8" s="7"/>
      <c r="E8" s="7"/>
      <c r="F8" s="7"/>
      <c r="G8" s="7"/>
      <c r="K8" s="7"/>
    </row>
    <row r="9" spans="1:11">
      <c r="B9" s="7"/>
      <c r="C9" s="13"/>
      <c r="D9" s="7"/>
      <c r="E9" s="7"/>
      <c r="F9" s="7"/>
      <c r="G9" s="7"/>
      <c r="K9" s="7"/>
    </row>
    <row r="10" spans="1:11">
      <c r="B10" s="7"/>
      <c r="C10" s="13"/>
      <c r="D10" s="7"/>
      <c r="E10" s="7"/>
      <c r="F10" s="7"/>
      <c r="G10" s="7"/>
      <c r="H10" s="14"/>
      <c r="I10" s="14"/>
      <c r="J10" s="14"/>
      <c r="K10" s="7"/>
    </row>
    <row r="11" ht="15" spans="1:11">
      <c r="A11" s="10" t="s">
        <v>8</v>
      </c>
      <c r="B11" s="10"/>
      <c r="C11" s="11"/>
      <c r="D11" s="12"/>
      <c r="E11" s="12"/>
      <c r="F11" s="12"/>
      <c r="G11" s="12"/>
      <c r="K11" s="7"/>
    </row>
    <row r="12" spans="1:11">
      <c r="A12" s="15" t="s">
        <v>9</v>
      </c>
      <c r="B12" s="7"/>
      <c r="C12" s="16"/>
      <c r="D12" s="7"/>
      <c r="E12" s="7"/>
      <c r="F12" s="7"/>
      <c r="G12" s="7"/>
      <c r="K12" s="7"/>
    </row>
    <row r="13" spans="1:11">
      <c r="A13" s="15" t="s">
        <v>10</v>
      </c>
      <c r="B13" s="7"/>
      <c r="C13" s="16"/>
      <c r="D13" s="7"/>
      <c r="E13" s="7"/>
      <c r="F13" s="7"/>
      <c r="G13" s="7"/>
      <c r="K13" s="7"/>
    </row>
    <row r="14" spans="1:11">
      <c r="A14" s="15" t="s">
        <v>11</v>
      </c>
      <c r="B14" s="7"/>
      <c r="C14" s="16"/>
      <c r="D14" s="7"/>
      <c r="E14" s="7"/>
      <c r="F14" s="7"/>
      <c r="G14" s="7"/>
      <c r="K14" s="7"/>
    </row>
    <row r="15" spans="1:11">
      <c r="A15" s="7" t="s">
        <v>12</v>
      </c>
      <c r="B15" s="7"/>
      <c r="C15" s="13"/>
      <c r="D15" s="7"/>
      <c r="E15" s="7"/>
      <c r="F15" s="7"/>
      <c r="G15" s="7"/>
      <c r="H15" s="17"/>
      <c r="I15" s="17"/>
      <c r="J15" s="17"/>
      <c r="K15" s="7"/>
    </row>
    <row r="16" spans="1:11">
      <c r="A16" s="7" t="s">
        <v>13</v>
      </c>
      <c r="B16" s="7"/>
      <c r="C16" s="13"/>
      <c r="D16" s="7"/>
      <c r="E16" s="7"/>
      <c r="F16" s="7"/>
      <c r="G16" s="7"/>
      <c r="K16" s="7"/>
    </row>
    <row r="17" spans="1:11">
      <c r="A17" s="7"/>
      <c r="B17" s="7"/>
      <c r="C17" s="13"/>
      <c r="D17" s="7"/>
      <c r="E17" s="7"/>
      <c r="F17" s="7"/>
      <c r="G17" s="7"/>
      <c r="H17" s="14"/>
      <c r="I17" s="14"/>
      <c r="J17" s="14"/>
      <c r="K17" s="7"/>
    </row>
    <row r="18" ht="15" spans="1:11">
      <c r="A18" s="10" t="s">
        <v>14</v>
      </c>
      <c r="B18" s="10"/>
      <c r="C18" s="11"/>
      <c r="D18" s="12"/>
      <c r="E18" s="12"/>
      <c r="F18" s="12"/>
      <c r="G18" s="12"/>
      <c r="K18" s="7"/>
    </row>
    <row r="19" ht="15" spans="1:11">
      <c r="A19" s="15" t="s">
        <v>15</v>
      </c>
      <c r="B19" s="18"/>
      <c r="C19" s="13"/>
      <c r="D19" s="7"/>
      <c r="E19" s="7"/>
      <c r="F19" s="7"/>
      <c r="G19" s="7"/>
      <c r="K19" s="7"/>
    </row>
    <row r="20" ht="15" spans="1:11">
      <c r="A20" s="15" t="s">
        <v>16</v>
      </c>
      <c r="B20" s="18"/>
      <c r="C20" s="13"/>
      <c r="D20" s="7"/>
      <c r="E20" s="7"/>
      <c r="F20" s="7"/>
      <c r="G20" s="7"/>
    </row>
    <row r="21" spans="1:11">
      <c r="A21" s="15" t="s">
        <v>17</v>
      </c>
      <c r="B21" s="7"/>
      <c r="C21" s="16"/>
      <c r="D21" s="7"/>
      <c r="E21" s="7"/>
      <c r="F21" s="7"/>
      <c r="G21" s="7"/>
    </row>
    <row r="22" spans="1:11">
      <c r="A22" s="15" t="s">
        <v>18</v>
      </c>
      <c r="B22" s="7"/>
      <c r="C22" s="16"/>
      <c r="D22" s="7"/>
      <c r="E22" s="7"/>
      <c r="F22" s="7"/>
      <c r="G22" s="7"/>
    </row>
    <row r="23" spans="1:11">
      <c r="A23" s="15" t="s">
        <v>19</v>
      </c>
      <c r="B23" s="7"/>
      <c r="C23" s="16"/>
      <c r="D23" s="7"/>
      <c r="E23" s="7"/>
      <c r="F23" s="7"/>
      <c r="G23" s="7"/>
    </row>
    <row r="24" spans="1:11">
      <c r="A24" s="15" t="s">
        <v>20</v>
      </c>
      <c r="B24" s="7"/>
      <c r="C24" s="13"/>
      <c r="D24" s="7"/>
      <c r="E24" s="7"/>
      <c r="F24" s="7"/>
      <c r="G24" s="7"/>
      <c r="H24" s="17"/>
      <c r="I24" s="17"/>
      <c r="J24" s="17"/>
      <c r="K24" s="7"/>
    </row>
    <row r="25" spans="1:11">
      <c r="A25" s="15" t="s">
        <v>21</v>
      </c>
      <c r="B25" s="7"/>
      <c r="C25" s="13"/>
      <c r="D25" s="7"/>
      <c r="E25" s="7"/>
      <c r="F25" s="7"/>
      <c r="G25" s="7"/>
      <c r="H25" s="17"/>
      <c r="I25" s="17"/>
      <c r="J25" s="17"/>
      <c r="K25" s="7"/>
    </row>
    <row r="26" spans="1:11">
      <c r="A26" s="19"/>
      <c r="B26" s="20"/>
      <c r="C26" s="13"/>
      <c r="D26" s="20"/>
      <c r="E26" s="20"/>
      <c r="F26" s="20"/>
      <c r="G26" s="20"/>
      <c r="H26" s="14"/>
      <c r="I26" s="14"/>
      <c r="J26" s="14"/>
      <c r="K26" s="20"/>
    </row>
    <row r="27" ht="15" spans="1:11">
      <c r="A27" s="21" t="s">
        <v>22</v>
      </c>
      <c r="B27" s="22" t="s">
        <v>23</v>
      </c>
      <c r="C27" s="23" t="s">
        <v>24</v>
      </c>
      <c r="D27" s="24" t="s">
        <v>25</v>
      </c>
      <c r="E27" s="21" t="s">
        <v>26</v>
      </c>
      <c r="F27" s="21" t="s">
        <v>74</v>
      </c>
      <c r="G27" s="21" t="s">
        <v>75</v>
      </c>
      <c r="H27" s="21" t="s">
        <v>76</v>
      </c>
      <c r="I27" s="21" t="s">
        <v>77</v>
      </c>
      <c r="J27" s="23" t="s">
        <v>29</v>
      </c>
      <c r="K27" s="25"/>
    </row>
    <row r="28" ht="15" spans="1:11">
      <c r="A28" s="21"/>
      <c r="B28" s="26"/>
      <c r="C28" s="27"/>
      <c r="D28" s="21"/>
      <c r="E28" s="23" t="s">
        <v>30</v>
      </c>
      <c r="F28" s="23" t="s">
        <v>78</v>
      </c>
      <c r="G28" s="23" t="s">
        <v>79</v>
      </c>
      <c r="H28" s="23" t="s">
        <v>80</v>
      </c>
      <c r="I28" s="23" t="s">
        <v>81</v>
      </c>
      <c r="J28" s="28"/>
      <c r="K28" s="25"/>
    </row>
    <row r="29" s="1" customFormat="1" ht="29" customHeight="1" spans="1:11">
      <c r="A29" s="29">
        <v>1.1</v>
      </c>
      <c r="B29" s="29" t="s">
        <v>32</v>
      </c>
      <c r="C29" s="30" t="s">
        <v>33</v>
      </c>
      <c r="D29" s="31" t="s">
        <v>34</v>
      </c>
      <c r="E29" s="31">
        <v>270</v>
      </c>
      <c r="F29" s="32">
        <v>270</v>
      </c>
      <c r="G29" s="33">
        <f>6.14*E29</f>
        <v>1657.8</v>
      </c>
      <c r="H29" s="34">
        <f>7.94*F29</f>
        <v>2143.8</v>
      </c>
      <c r="I29" s="34">
        <f>0.052*F29</f>
        <v>14.04</v>
      </c>
      <c r="J29" s="33" t="s">
        <v>35</v>
      </c>
      <c r="K29" s="35" t="s">
        <v>82</v>
      </c>
    </row>
    <row r="30" s="1" customFormat="1" ht="29" customHeight="1" spans="1:11">
      <c r="A30" s="29">
        <v>1.1</v>
      </c>
      <c r="B30" s="29" t="s">
        <v>32</v>
      </c>
      <c r="C30" s="30" t="s">
        <v>33</v>
      </c>
      <c r="D30" s="31" t="s">
        <v>36</v>
      </c>
      <c r="E30" s="31">
        <v>788</v>
      </c>
      <c r="F30" s="32">
        <v>788</v>
      </c>
      <c r="G30" s="33">
        <f>6.14*E30</f>
        <v>4838.32</v>
      </c>
      <c r="H30" s="34">
        <f>7.94*F30</f>
        <v>6256.72</v>
      </c>
      <c r="I30" s="34">
        <f>0.052*F30</f>
        <v>40.976</v>
      </c>
      <c r="J30" s="33" t="s">
        <v>37</v>
      </c>
      <c r="K30" s="35" t="s">
        <v>83</v>
      </c>
    </row>
    <row r="31" s="1" customFormat="1" ht="29" customHeight="1" spans="1:11">
      <c r="A31" s="29">
        <v>1.1</v>
      </c>
      <c r="B31" s="29" t="s">
        <v>38</v>
      </c>
      <c r="C31" s="30" t="s">
        <v>39</v>
      </c>
      <c r="D31" s="31" t="s">
        <v>40</v>
      </c>
      <c r="E31" s="31">
        <v>180</v>
      </c>
      <c r="F31" s="32">
        <v>180</v>
      </c>
      <c r="G31" s="33">
        <f>2.53*E31</f>
        <v>455.4</v>
      </c>
      <c r="H31" s="34">
        <f>3.2*F31</f>
        <v>576</v>
      </c>
      <c r="I31" s="34">
        <f>0.016*F31</f>
        <v>2.88</v>
      </c>
      <c r="J31" s="33" t="s">
        <v>41</v>
      </c>
      <c r="K31" s="35" t="s">
        <v>83</v>
      </c>
    </row>
    <row r="32" s="1" customFormat="1" ht="29" customHeight="1" spans="1:11">
      <c r="A32" s="31">
        <v>2.2</v>
      </c>
      <c r="B32" s="29" t="s">
        <v>42</v>
      </c>
      <c r="C32" s="30" t="s">
        <v>43</v>
      </c>
      <c r="D32" s="31" t="s">
        <v>36</v>
      </c>
      <c r="E32" s="31">
        <v>150</v>
      </c>
      <c r="F32" s="32">
        <v>150</v>
      </c>
      <c r="G32" s="33">
        <f>8.96*E32</f>
        <v>1344</v>
      </c>
      <c r="H32" s="34">
        <f>11.48*F32</f>
        <v>1722</v>
      </c>
      <c r="I32" s="34">
        <f>0.068*F32</f>
        <v>10.2</v>
      </c>
      <c r="J32" s="33" t="s">
        <v>44</v>
      </c>
      <c r="K32" s="35" t="s">
        <v>83</v>
      </c>
    </row>
    <row r="33" s="1" customFormat="1" ht="29" customHeight="1" spans="1:11">
      <c r="A33" s="31">
        <v>2.1</v>
      </c>
      <c r="B33" s="29" t="s">
        <v>45</v>
      </c>
      <c r="C33" s="30" t="s">
        <v>46</v>
      </c>
      <c r="D33" s="31" t="s">
        <v>47</v>
      </c>
      <c r="E33" s="31">
        <v>1260</v>
      </c>
      <c r="F33" s="32">
        <v>21</v>
      </c>
      <c r="G33" s="33">
        <f>0.035*E33</f>
        <v>44.1</v>
      </c>
      <c r="H33" s="34">
        <f>12.14*F33</f>
        <v>254.94</v>
      </c>
      <c r="I33" s="34">
        <f>0.072*F33</f>
        <v>1.512</v>
      </c>
      <c r="J33" s="33" t="s">
        <v>48</v>
      </c>
      <c r="K33" s="35" t="s">
        <v>84</v>
      </c>
    </row>
    <row r="34" s="1" customFormat="1" ht="29" customHeight="1" spans="1:11">
      <c r="A34" s="31">
        <v>2.1</v>
      </c>
      <c r="B34" s="29" t="s">
        <v>45</v>
      </c>
      <c r="C34" s="30" t="s">
        <v>46</v>
      </c>
      <c r="D34" s="31" t="s">
        <v>47</v>
      </c>
      <c r="E34" s="31">
        <v>4</v>
      </c>
      <c r="F34" s="32">
        <v>1</v>
      </c>
      <c r="G34" s="33">
        <v>0.14</v>
      </c>
      <c r="H34" s="34">
        <v>0.22</v>
      </c>
      <c r="I34" s="34">
        <f>0.27*0.24*0.24</f>
        <v>0.015552</v>
      </c>
      <c r="J34" s="33" t="s">
        <v>48</v>
      </c>
      <c r="K34" s="35" t="s">
        <v>84</v>
      </c>
    </row>
    <row r="35" s="1" customFormat="1" ht="26.25" customHeight="1" spans="1:11">
      <c r="A35" s="31">
        <v>1.1</v>
      </c>
      <c r="B35" s="36" t="s">
        <v>49</v>
      </c>
      <c r="C35" s="30" t="s">
        <v>50</v>
      </c>
      <c r="D35" s="31" t="s">
        <v>51</v>
      </c>
      <c r="E35" s="31">
        <v>150</v>
      </c>
      <c r="F35" s="32">
        <v>3</v>
      </c>
      <c r="G35" s="33">
        <v>17.76</v>
      </c>
      <c r="H35" s="34">
        <v>18</v>
      </c>
      <c r="I35" s="34">
        <v>0.03</v>
      </c>
      <c r="J35" s="33" t="s">
        <v>52</v>
      </c>
      <c r="K35" s="37"/>
    </row>
    <row r="36" s="1" customFormat="1" ht="26.25" customHeight="1" spans="1:11">
      <c r="A36" s="31">
        <v>2.1</v>
      </c>
      <c r="B36" s="36" t="s">
        <v>53</v>
      </c>
      <c r="C36" s="30" t="s">
        <v>54</v>
      </c>
      <c r="D36" s="31" t="s">
        <v>51</v>
      </c>
      <c r="E36" s="31">
        <v>20</v>
      </c>
      <c r="F36" s="32">
        <v>1</v>
      </c>
      <c r="G36" s="33">
        <v>0.66</v>
      </c>
      <c r="H36" s="34">
        <v>0.74</v>
      </c>
      <c r="I36" s="34">
        <v>0.01</v>
      </c>
      <c r="J36" s="33" t="s">
        <v>55</v>
      </c>
      <c r="K36" s="37"/>
    </row>
    <row r="37" s="1" customFormat="1" ht="26.25" customHeight="1" spans="1:11">
      <c r="A37" s="31"/>
      <c r="B37" s="36"/>
      <c r="C37" s="30"/>
      <c r="D37" s="31"/>
      <c r="E37" s="31"/>
      <c r="F37" s="32"/>
      <c r="G37" s="33"/>
      <c r="H37" s="34"/>
      <c r="I37" s="34"/>
      <c r="J37" s="33"/>
      <c r="K37" s="37"/>
    </row>
    <row r="38" s="1" customFormat="1" ht="26.25" customHeight="1" spans="1:11">
      <c r="A38" s="38"/>
      <c r="B38" s="38"/>
      <c r="C38" s="39"/>
      <c r="D38" s="40"/>
      <c r="E38" s="40"/>
      <c r="F38" s="40"/>
      <c r="G38" s="33"/>
      <c r="H38" s="34"/>
      <c r="I38" s="34"/>
      <c r="J38" s="33"/>
      <c r="K38" s="41"/>
    </row>
    <row r="39" ht="31.5" customHeight="1" spans="1:11">
      <c r="A39" s="42"/>
      <c r="B39" s="42"/>
      <c r="C39" s="42"/>
      <c r="D39" s="21" t="s">
        <v>58</v>
      </c>
      <c r="E39" s="43">
        <f>SUM(E29:E38)</f>
        <v>2822</v>
      </c>
      <c r="F39" s="44">
        <f>SUM(F29:F38)</f>
        <v>1414</v>
      </c>
      <c r="G39" s="45">
        <f>SUM(G29:G38)</f>
        <v>8358.18</v>
      </c>
      <c r="H39" s="45">
        <f>SUM(H29:H38)</f>
        <v>10972.42</v>
      </c>
      <c r="I39" s="45">
        <f>SUM(I29:I38)</f>
        <v>69.663552</v>
      </c>
      <c r="J39" s="45"/>
      <c r="K39" s="25"/>
    </row>
    <row r="40" ht="21" customHeight="1" spans="1:11">
      <c r="A40" s="42"/>
      <c r="B40" s="42"/>
      <c r="C40" s="42"/>
      <c r="D40" s="46"/>
      <c r="E40" s="46"/>
      <c r="F40" s="47"/>
      <c r="G40" s="48"/>
      <c r="H40" s="48"/>
      <c r="I40" s="48"/>
      <c r="J40" s="49"/>
    </row>
    <row r="41" ht="21" customHeight="1" spans="1:11">
      <c r="A41" s="50" t="s">
        <v>85</v>
      </c>
      <c r="B41" s="50"/>
      <c r="C41" s="50"/>
      <c r="D41" s="50"/>
      <c r="E41" s="50"/>
      <c r="F41" s="50"/>
      <c r="G41" s="50"/>
      <c r="H41" s="50"/>
      <c r="I41" s="50"/>
      <c r="J41" s="50"/>
      <c r="K41" s="51"/>
    </row>
    <row r="42" spans="1:11">
      <c r="B42" s="2" t="s">
        <v>57</v>
      </c>
      <c r="F42" s="52"/>
    </row>
    <row r="43" spans="1:1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7"/>
    </row>
    <row r="44" spans="1:11">
      <c r="A44" s="53" t="s">
        <v>60</v>
      </c>
      <c r="B44" s="53"/>
      <c r="C44" s="54" t="s">
        <v>61</v>
      </c>
      <c r="D44" s="55"/>
      <c r="E44" s="55"/>
      <c r="F44" s="20"/>
      <c r="G44" s="20"/>
      <c r="H44" s="20"/>
      <c r="I44" s="20"/>
      <c r="J44" s="20"/>
      <c r="K44" s="7"/>
    </row>
    <row r="45" customHeight="1" spans="1:11">
      <c r="A45" s="56" t="s">
        <v>62</v>
      </c>
      <c r="B45" s="56"/>
      <c r="C45" s="56" t="s">
        <v>63</v>
      </c>
      <c r="F45" s="57" t="s">
        <v>64</v>
      </c>
      <c r="G45" s="58" t="s">
        <v>65</v>
      </c>
      <c r="H45" s="59"/>
      <c r="I45" s="59"/>
      <c r="K45" s="7"/>
    </row>
    <row r="46" spans="1:11">
      <c r="A46" s="20"/>
      <c r="B46" s="60"/>
      <c r="F46" s="57" t="s">
        <v>66</v>
      </c>
      <c r="G46" s="61">
        <v>46252</v>
      </c>
      <c r="H46" s="62" t="s">
        <v>67</v>
      </c>
      <c r="I46" s="63">
        <v>46288</v>
      </c>
      <c r="J46" s="20"/>
      <c r="K46" s="7"/>
    </row>
    <row r="47" spans="1:11">
      <c r="A47" s="64" t="s">
        <v>68</v>
      </c>
      <c r="B47" s="65"/>
      <c r="C47" s="54" t="s">
        <v>69</v>
      </c>
      <c r="D47" s="54"/>
      <c r="E47" s="54"/>
      <c r="F47" s="54"/>
      <c r="G47" s="54"/>
      <c r="H47" s="14"/>
      <c r="I47" s="14"/>
      <c r="J47" s="14"/>
      <c r="K47" s="7"/>
    </row>
    <row r="48" s="2" customFormat="1" spans="1:11">
      <c r="A48" s="66" t="s">
        <v>70</v>
      </c>
      <c r="B48" s="54"/>
      <c r="C48" s="54"/>
      <c r="D48" s="54"/>
      <c r="E48" s="54"/>
      <c r="F48" s="54"/>
      <c r="G48" s="54"/>
      <c r="H48" s="20"/>
      <c r="I48" s="20"/>
      <c r="J48" s="14"/>
    </row>
    <row r="49" spans="1:13">
      <c r="A49" s="54" t="s">
        <v>71</v>
      </c>
      <c r="B49" s="54"/>
      <c r="C49" s="54"/>
      <c r="D49" s="54"/>
      <c r="E49" s="54"/>
      <c r="F49" s="54"/>
      <c r="G49" s="54"/>
      <c r="H49" s="14"/>
      <c r="I49" s="14"/>
      <c r="J49" s="14"/>
      <c r="K49" s="7"/>
    </row>
    <row r="53" ht="15" spans="1:13">
      <c r="B53" s="67"/>
      <c r="C53"/>
      <c r="D53"/>
      <c r="E53"/>
      <c r="F53"/>
      <c r="G53"/>
      <c r="H53"/>
      <c r="I53"/>
      <c r="J53"/>
      <c r="K53"/>
      <c r="L53"/>
      <c r="M53"/>
    </row>
  </sheetData>
  <mergeCells count="12">
    <mergeCell ref="H3:I3"/>
    <mergeCell ref="H4:I4"/>
    <mergeCell ref="A41:J41"/>
    <mergeCell ref="A44:B44"/>
    <mergeCell ref="A45:B45"/>
    <mergeCell ref="A27:A28"/>
    <mergeCell ref="B27:B28"/>
    <mergeCell ref="C27:C28"/>
    <mergeCell ref="D27:D28"/>
    <mergeCell ref="J27:J28"/>
    <mergeCell ref="K29:K38"/>
    <mergeCell ref="A1:I2"/>
  </mergeCells>
  <dataValidations count="1">
    <dataValidation type="list" allowBlank="1" showInputMessage="1" showErrorMessage="1" sqref="C44:D44">
      <formula1>Incoterm</formula1>
    </dataValidation>
  </dataValidations>
  <pageMargins left="0.48" right="0.35" top="0.786805555555556" bottom="0.786805555555556" header="0.3" footer="0.3"/>
  <pageSetup paperSize="9" scale="5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Katharina Breitenwinkler</dc:creator>
  <cp:lastModifiedBy>贝拉</cp:lastModifiedBy>
  <dcterms:created xsi:type="dcterms:W3CDTF">2015-03-04T10:27:00Z</dcterms:created>
  <cp:lastPrinted>2023-04-28T00:15:00Z</cp:lastPrinted>
  <dcterms:modified xsi:type="dcterms:W3CDTF">2026-08-14T01:55:16Z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true</vt:bool>
  </property>
  <property fmtid="{D5CDD505-2E9C-101B-9397-08002B2CF9AE}" pid="4" name="ICV">
    <vt:lpwstr>D18D079E772349459D60D68C9EEBACBD</vt:lpwstr>
  </property>
  <property fmtid="{D5CDD505-2E9C-101B-9397-08002B2CF9AE}" pid="5" name="CalculationRule">
    <vt:i4>0</vt:i4>
  </property>
</Properties>
</file>